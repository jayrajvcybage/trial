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2968" windowHeight="8064" activeTab="1"/>
  </bookViews>
  <sheets>
    <sheet name="Instructions" sheetId="9" r:id="rId1"/>
    <sheet name="Sheet1" sheetId="5" r:id="rId2"/>
    <sheet name="Sheet2" sheetId="12" r:id="rId3"/>
    <sheet name="Dashboard" sheetId="6" r:id="rId4"/>
    <sheet name="Report" sheetId="11" r:id="rId5"/>
    <sheet name="Notes" sheetId="13" r:id="rId6"/>
  </sheets>
  <functionGroups builtInGroupCount="18"/>
  <definedNames>
    <definedName name="_xlnm._FilterDatabase" localSheetId="1" hidden="1">Sheet1!$A$3:$H$25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comments1.xml><?xml version="1.0" encoding="utf-8"?>
<comments xmlns="http://schemas.openxmlformats.org/spreadsheetml/2006/main">
  <authors>
    <author>Jayraj Vahadane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</rPr>
          <t>Jayraj Vahadane:</t>
        </r>
        <r>
          <rPr>
            <sz val="9"/>
            <color indexed="81"/>
            <rFont val="Tahoma"/>
            <family val="2"/>
          </rPr>
          <t xml:space="preserve">
Only Stories, no bugs/tech debt/tasks</t>
        </r>
      </text>
    </comment>
  </commentList>
</comments>
</file>

<file path=xl/sharedStrings.xml><?xml version="1.0" encoding="utf-8"?>
<sst xmlns="http://schemas.openxmlformats.org/spreadsheetml/2006/main" count="294" uniqueCount="143">
  <si>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</si>
  <si>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</si>
  <si>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</si>
  <si>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</si>
  <si>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</si>
  <si>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</si>
  <si>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</si>
  <si>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</si>
  <si>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</si>
  <si>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</si>
  <si>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</si>
  <si>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</si>
  <si>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</si>
  <si>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</si>
  <si>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</si>
  <si>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</si>
  <si>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</si>
  <si>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</si>
  <si>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</si>
  <si>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</si>
  <si>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</si>
  <si>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</si>
  <si>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</si>
  <si>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</si>
  <si>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</si>
  <si>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</si>
  <si>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</si>
  <si>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</si>
  <si>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</si>
  <si>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</si>
  <si>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</si>
  <si>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</si>
  <si>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</si>
  <si>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</si>
  <si>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</si>
  <si>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Added after sprint planning</t>
  </si>
  <si>
    <t>Total added after sprint planning</t>
  </si>
  <si>
    <t>Delivered Value in Points</t>
  </si>
  <si>
    <t>Bug Fixed in Points</t>
  </si>
  <si>
    <t>Final Completed</t>
  </si>
  <si>
    <t>Story Points</t>
  </si>
  <si>
    <t>Stories</t>
  </si>
  <si>
    <t>BD-37207</t>
  </si>
  <si>
    <t>FCA - 2019 Setup the 2019 Sample/Scoring/Reporting Periods</t>
  </si>
  <si>
    <t>BD-37213</t>
  </si>
  <si>
    <t>FCA - 2019 Launch - Generate Month Ending Index Scoring Procedure for Entities</t>
  </si>
  <si>
    <t>BD-37214</t>
  </si>
  <si>
    <t>FCA - 2019 Generate Month Ending Index Scoring Procedure for Employees</t>
  </si>
  <si>
    <t>BD-37216</t>
  </si>
  <si>
    <t>FCA - 2019 - Remove Terminated Dealer Scoring</t>
  </si>
  <si>
    <t>BD-37218</t>
  </si>
  <si>
    <t>FCA - 2019 : Remove Dealer Ranking routine from Scoring</t>
  </si>
  <si>
    <t>BD-37219</t>
  </si>
  <si>
    <t>FCA - 2019 - Remove New Dealer Goals sproc from Scoring</t>
  </si>
  <si>
    <t>BD-37220</t>
  </si>
  <si>
    <t>FCA - 2019 - Modify Hierarchy Generation Sprocs to include Terminated Dealers</t>
  </si>
  <si>
    <t>BD-38157</t>
  </si>
  <si>
    <t>FCA 2019 - Pause Follow-up Surveys (CLP) during the FREEZE</t>
  </si>
  <si>
    <t>BD-38632</t>
  </si>
  <si>
    <t>FCA - Determination of Hierarchy should be based upon the lkuDealerMasterFranchise table</t>
  </si>
  <si>
    <t>BD-38928</t>
  </si>
  <si>
    <t>FCA 2019 - Updates needed to Month-End Scoring</t>
  </si>
  <si>
    <t>BD-39481</t>
  </si>
  <si>
    <t>FCA 2019 - Database Deployments - Lookup Tables</t>
  </si>
  <si>
    <t>BD-39485</t>
  </si>
  <si>
    <t>FCA 2019 - Web Refinements - DASHBOARD</t>
  </si>
  <si>
    <t>BD-39486</t>
  </si>
  <si>
    <t>FCA - Custom Site Framework - PERFORMANCE IMPACT</t>
  </si>
  <si>
    <t>BD-39487</t>
  </si>
  <si>
    <t>FCA - Custom Site Framework - EMPLOYEE MANAGEMENT</t>
  </si>
  <si>
    <t>BD-39840</t>
  </si>
  <si>
    <t>FCA- Add Craig Kutcher to News Admin Access</t>
  </si>
  <si>
    <t>BD-39841</t>
  </si>
  <si>
    <t>FCA 2019 - Compute Survey-Level Index (Alfa)</t>
  </si>
  <si>
    <t>BD-39980</t>
  </si>
  <si>
    <t>Update GetPendingCustomerHotAlerts and LoadFollowUpWrkTables</t>
  </si>
  <si>
    <t>BD-40200</t>
  </si>
  <si>
    <t>FCA 2019 - New sample field 'Preferred Language' storage</t>
  </si>
  <si>
    <t>BD-40201 *</t>
  </si>
  <si>
    <t>FCA 2019 - New sample field 'Delivery Date' storage</t>
  </si>
  <si>
    <t>BD-40273</t>
  </si>
  <si>
    <t>FCA - 2019 Replace Replication Jobs for Returns and MTD Scores</t>
  </si>
  <si>
    <t>BD-40274</t>
  </si>
  <si>
    <t>FCA - 2019 -- Alter Income Question Response Groups</t>
  </si>
  <si>
    <t>BD-40776 *</t>
  </si>
  <si>
    <t>FCA - Webscan on New Stage Environment</t>
  </si>
  <si>
    <t>BD-35531</t>
  </si>
  <si>
    <t>FCA - Create 2019 Daily &amp; Monthly CDJRF Horizontal VIN File</t>
  </si>
  <si>
    <t>BD-35532</t>
  </si>
  <si>
    <t>FCA - Create 2019 Daily &amp; Monthly Alfa Horizontal VIN File</t>
  </si>
  <si>
    <t>BD-35534</t>
  </si>
  <si>
    <t>FCA - Create 2019 Daily CDJRF Vertical VIN File</t>
  </si>
  <si>
    <t>Priority 2</t>
  </si>
  <si>
    <t>Priority 3</t>
  </si>
  <si>
    <r>
      <t>- → </t>
    </r>
    <r>
      <rPr>
        <sz val="8"/>
        <color rgb="FF333333"/>
        <rFont val="Segoe UI"/>
        <family val="2"/>
      </rPr>
      <t>2</t>
    </r>
  </si>
  <si>
    <t>Issues Not Completed</t>
  </si>
  <si>
    <t>IN PROGRESS</t>
  </si>
  <si>
    <t>Story Points </t>
  </si>
  <si>
    <t>BD-2326</t>
  </si>
  <si>
    <t>GM CSI/DP MARS Automation - Phase 1 - Processing (CSI Mailout) - Part A - Automate Manual (Pre-MARS) Steps</t>
  </si>
  <si>
    <t>BD-36420</t>
  </si>
  <si>
    <t>GM Global Canada Negative Impact Report - 1 Decimal</t>
  </si>
  <si>
    <t>BD-39484</t>
  </si>
  <si>
    <t>Cadillac - Update Wholesale Dual PDSSS Report with New Score Type</t>
  </si>
  <si>
    <t>BD-39684</t>
  </si>
  <si>
    <t>US - DP17 Display Issue on Internet Explorer - Consultant Full Detail</t>
  </si>
  <si>
    <t>BD-40382</t>
  </si>
  <si>
    <t>Investigate why the Everest email address was used for VIN 2gnaxtex9j6341954 instead of Onstar</t>
  </si>
  <si>
    <t>BD-41423</t>
  </si>
  <si>
    <t>GM Global CSI Monthly tblSurvey1to13MonthPDS(SSS) Cleanup has FAILED</t>
  </si>
  <si>
    <t>BD-41453</t>
  </si>
  <si>
    <t>Security Scan - 10932 - Web Server Misconfiguration: Server Error Message</t>
  </si>
  <si>
    <t>BD-41458</t>
  </si>
  <si>
    <t>Security Scan - Sep 29 2018 - Cookie Security: Cookie not Sent Over SSL ( 4720 )</t>
  </si>
  <si>
    <t>BD-42380</t>
  </si>
  <si>
    <t>GM Global US Color Graphs Ad Hoc Did Not Run</t>
  </si>
  <si>
    <t>BD-42383</t>
  </si>
  <si>
    <t>Cadillac - Consultant Full Detail - Incorrectly displaying 0.00 for I did not need a loaner</t>
  </si>
  <si>
    <t>BD-42549</t>
  </si>
  <si>
    <t>Cadillac - SSS Premium Concierge Calculation Update</t>
  </si>
  <si>
    <t>BD-42550</t>
  </si>
  <si>
    <t>GM US/Cadillac Dealer Interference Update Report and Letter File to Only Include DI Records, Flip addresses, Domain field</t>
  </si>
  <si>
    <t>BD-42692 *</t>
  </si>
  <si>
    <t>US - Update PDF at "Report Cut-Off and Release Schedule" on Portal</t>
  </si>
  <si>
    <t>BD-43163 *</t>
  </si>
  <si>
    <t>Analysis of tickets</t>
  </si>
  <si>
    <r>
      <t>- → </t>
    </r>
    <r>
      <rPr>
        <sz val="8"/>
        <color rgb="FF333333"/>
        <rFont val="Segoe UI"/>
        <family val="2"/>
      </rPr>
      <t>3</t>
    </r>
  </si>
  <si>
    <t>BD-43213 *</t>
  </si>
  <si>
    <t>1/15/19 phase 1 counts are showing 0 US CPO and 0 CTA</t>
  </si>
  <si>
    <t>Priority 1</t>
  </si>
  <si>
    <r>
      <t>- → </t>
    </r>
    <r>
      <rPr>
        <sz val="8"/>
        <color rgb="FF333333"/>
        <rFont val="Segoe UI"/>
        <family val="2"/>
      </rPr>
      <t>1</t>
    </r>
  </si>
  <si>
    <t>Story Points (3)</t>
  </si>
  <si>
    <t>BD-38861</t>
  </si>
  <si>
    <t>US - Investigate and/or Undo "Kevin Clark" Merges in US Employee Table</t>
  </si>
  <si>
    <t>Issues Removed From Sprint</t>
  </si>
  <si>
    <t>Story Points (6)</t>
  </si>
  <si>
    <t>BD-39327</t>
  </si>
  <si>
    <t>US/Cadillac - Analysis for Adding New BACs to Dealer Tables More Frequently</t>
  </si>
  <si>
    <t>READY FOR DEVELOPMENT</t>
  </si>
  <si>
    <t>BD-39683</t>
  </si>
  <si>
    <t>US/CA/Cadillac - Status Code Changes Not Recieved from CfMC</t>
  </si>
  <si>
    <t>OPEN</t>
  </si>
  <si>
    <r>
      <t>Story Points (</t>
    </r>
    <r>
      <rPr>
        <b/>
        <sz val="8"/>
        <color rgb="FF707070"/>
        <rFont val="Segoe UI"/>
        <family val="2"/>
      </rPr>
      <t>27 → </t>
    </r>
    <r>
      <rPr>
        <b/>
        <sz val="8"/>
        <color rgb="FF6C798F"/>
        <rFont val="Segoe UI"/>
        <family val="2"/>
      </rPr>
      <t>33)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</si>
</sst>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7"/>
      <color rgb="FF00875A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rgb="FF0052CC"/>
      <name val="Segoe UI"/>
      <family val="2"/>
    </font>
    <font>
      <sz val="8"/>
      <color rgb="FF707070"/>
      <name val="Segoe UI"/>
      <family val="2"/>
    </font>
    <font>
      <b/>
      <sz val="8"/>
      <color rgb="FF707070"/>
      <name val="Segoe UI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42526E"/>
      <name val="Segoe UI"/>
      <family val="2"/>
    </font>
    <font>
      <sz val="7"/>
      <color rgb="FF0052CC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3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6" xfId="0" applyFont="1" applyBorder="1" applyAlignment="1">
      <alignment vertical="top"/>
    </xf>
    <xf numFmtId="0" fontId="5" fillId="0" borderId="6" xfId="0" applyFont="1" applyBorder="1" applyAlignment="1">
      <alignment vertical="top" wrapText="1"/>
    </xf>
    <xf numFmtId="0" fontId="5" fillId="0" borderId="6" xfId="0" applyFont="1" applyBorder="1"/>
    <xf numFmtId="0" fontId="6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9" fontId="9" fillId="0" borderId="5" xfId="0" applyNumberFormat="1" applyFont="1" applyBorder="1" applyAlignment="1">
      <alignment horizontal="center" vertical="center" wrapText="1"/>
    </xf>
    <xf numFmtId="0" fontId="5" fillId="0" borderId="0" xfId="0" applyFont="1"/>
    <xf numFmtId="0" fontId="4" fillId="0" borderId="6" xfId="0" applyFont="1" applyBorder="1"/>
    <xf numFmtId="0" fontId="11" fillId="2" borderId="0" xfId="0" applyFont="1" applyFill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4" fillId="0" borderId="0" xfId="0" applyFont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3" fillId="2" borderId="11" xfId="1" applyFill="1" applyBorder="1" applyAlignment="1">
      <alignment horizontal="left" vertical="top"/>
    </xf>
    <xf numFmtId="0" fontId="2" fillId="2" borderId="11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/>
    </xf>
    <xf numFmtId="0" fontId="2" fillId="2" borderId="11" xfId="0" applyFont="1" applyFill="1" applyBorder="1" applyAlignment="1">
      <alignment horizontal="right" vertical="top"/>
    </xf>
    <xf numFmtId="0" fontId="15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right" vertical="top"/>
    </xf>
    <xf numFmtId="0" fontId="7" fillId="0" borderId="9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9" fillId="2" borderId="0" xfId="0" applyFont="1" applyFill="1" applyAlignment="1">
      <alignment horizontal="left" vertical="top"/>
    </xf>
    <xf numFmtId="0" fontId="20" fillId="2" borderId="0" xfId="0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07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074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75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07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07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07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08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08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08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8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08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085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086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08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088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08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090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091" name="AutoShape 1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092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4" name="AutoShape 2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095" name="AutoShape 2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8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099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00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101" name="AutoShape 2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3102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7620</xdr:rowOff>
    </xdr:to>
    <xdr:sp macro="" textlink="">
      <xdr:nvSpPr>
        <xdr:cNvPr id="3103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04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304800</xdr:colOff>
      <xdr:row>35</xdr:row>
      <xdr:rowOff>7620</xdr:rowOff>
    </xdr:to>
    <xdr:sp macro="" textlink="">
      <xdr:nvSpPr>
        <xdr:cNvPr id="3105" name="AutoShape 3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7620</xdr:rowOff>
    </xdr:to>
    <xdr:sp macro="" textlink="">
      <xdr:nvSpPr>
        <xdr:cNvPr id="3106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4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5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6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7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8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9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0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1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2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3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4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15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6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17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8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19" name="AutoShape 18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20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1" name="AutoShape 2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22" name="AutoShape 2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3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24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25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26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304800</xdr:colOff>
      <xdr:row>28</xdr:row>
      <xdr:rowOff>7620</xdr:rowOff>
    </xdr:to>
    <xdr:sp macro="" textlink="">
      <xdr:nvSpPr>
        <xdr:cNvPr id="27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8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9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4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35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07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08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109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10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11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112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13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14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15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16" name="AutoShape 4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17" name="AutoShape 4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18" name="AutoShape 4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119" name="AutoShape 4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20" name="AutoShape 4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121" name="AutoShape 4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3122" name="AutoShape 5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123" name="AutoShape 5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304800</xdr:colOff>
      <xdr:row>28</xdr:row>
      <xdr:rowOff>7620</xdr:rowOff>
    </xdr:to>
    <xdr:sp macro="" textlink="">
      <xdr:nvSpPr>
        <xdr:cNvPr id="3124" name="AutoShape 5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6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7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8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9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40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41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42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43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44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45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46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47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48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49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50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51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52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53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5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55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5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57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58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59" name="AutoShape 2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60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61" name="AutoShape 2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62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63" name="AutoShape 2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2048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304800</xdr:colOff>
      <xdr:row>26</xdr:row>
      <xdr:rowOff>7620</xdr:rowOff>
    </xdr:to>
    <xdr:sp macro="" textlink="">
      <xdr:nvSpPr>
        <xdr:cNvPr id="2075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207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304800</xdr:colOff>
      <xdr:row>33</xdr:row>
      <xdr:rowOff>7620</xdr:rowOff>
    </xdr:to>
    <xdr:sp macro="" textlink="">
      <xdr:nvSpPr>
        <xdr:cNvPr id="2078" name="AutoShape 3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79" name="AutoShape 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8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8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8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8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8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8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8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8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8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89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90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9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9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9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94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2095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209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2097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2098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09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100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210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2102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10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104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10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10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10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10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210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11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211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2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25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26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27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28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129" name="AutoShape 1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30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31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32" name="AutoShape 1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3133" name="AutoShape 1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3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135" name="AutoShape 2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3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137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38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39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40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41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42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143" name="AutoShape 28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144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145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14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14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304800</xdr:colOff>
      <xdr:row>28</xdr:row>
      <xdr:rowOff>7620</xdr:rowOff>
    </xdr:to>
    <xdr:sp macro="" textlink="">
      <xdr:nvSpPr>
        <xdr:cNvPr id="3148" name="AutoShape 3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49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50" name="AutoShape 3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51" name="AutoShape 3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52" name="AutoShape 3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5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54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55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56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157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15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5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6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6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6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6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64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65" name="AutoShape 1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66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6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68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169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70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171" name="AutoShape 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72" name="AutoShape 2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7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74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75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7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7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78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79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80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81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182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183" name="AutoShape 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184" name="AutoShape 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85" name="AutoShape 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86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87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88" name="AutoShape 1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89" name="AutoShape 1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90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91" name="AutoShape 1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92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193" name="AutoShape 16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94" name="AutoShape 17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95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196" name="AutoShape 1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97" name="AutoShape 2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98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304800</xdr:colOff>
      <xdr:row>21</xdr:row>
      <xdr:rowOff>7620</xdr:rowOff>
    </xdr:to>
    <xdr:sp macro="" textlink="">
      <xdr:nvSpPr>
        <xdr:cNvPr id="3199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200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7620</xdr:rowOff>
    </xdr:to>
    <xdr:sp macro="" textlink="">
      <xdr:nvSpPr>
        <xdr:cNvPr id="3201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02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203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04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205" name="AutoShape 2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06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207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08" name="AutoShape 3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209" name="AutoShape 3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10" name="AutoShape 3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11" name="AutoShape 3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212" name="AutoShape 3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213" name="AutoShape 3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214" name="AutoShape 3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3215" name="AutoShape 3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304800</xdr:colOff>
      <xdr:row>33</xdr:row>
      <xdr:rowOff>7620</xdr:rowOff>
    </xdr:to>
    <xdr:sp macro="" textlink="">
      <xdr:nvSpPr>
        <xdr:cNvPr id="3216" name="AutoShape 3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3217" name="AutoShape 4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248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7620</xdr:rowOff>
    </xdr:to>
    <xdr:sp macro="" textlink="">
      <xdr:nvSpPr>
        <xdr:cNvPr id="3218" name="AutoShape 4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27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1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2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2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2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2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2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2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2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2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2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29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30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231" name="AutoShape 1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3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3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23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23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236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237" name="AutoShape 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238" name="AutoShape 2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23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240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4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42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43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44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4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4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4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4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324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5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5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52" name="AutoShape 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53" name="AutoShape 1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54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55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56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257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58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259" name="AutoShape 1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60" name="AutoShape 1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3261" name="AutoShape 18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62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263" name="AutoShape 2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64" name="AutoShape 2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65" name="AutoShape 2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66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267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68" name="AutoShape 2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69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70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71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72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73" name="AutoShape 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274" name="AutoShape 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75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76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77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78" name="AutoShape 9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79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80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281" name="AutoShape 1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82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283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84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85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86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87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288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289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90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91" name="AutoShape 2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92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93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94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295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96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97" name="AutoShape 2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98" name="AutoShape 2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99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00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01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302" name="AutoShape 3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03" name="AutoShape 3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304" name="AutoShape 3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05" name="AutoShape 3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06" name="AutoShape 3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07" name="AutoShape 3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08" name="AutoShape 3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09" name="AutoShape 4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310" name="AutoShape 41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311" name="AutoShape 4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312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313" name="AutoShape 4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3314" name="AutoShape 4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15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16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17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18" name="AutoShape 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319" name="AutoShape 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20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21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322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23" name="AutoShape 9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24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25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326" name="AutoShape 1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27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328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29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30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31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32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33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334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335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336" name="AutoShape 2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337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3338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39" name="AutoShape 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40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4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4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4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4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4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4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4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4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49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50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5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5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5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35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35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356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357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358" name="AutoShape 2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59" name="AutoShape 2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60" name="AutoShape 2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6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62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6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6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65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66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67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68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69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70" name="AutoShape 3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71" name="AutoShape 3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72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73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374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375" name="AutoShape 3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376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377" name="AutoShape 3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378" name="AutoShape 4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79" name="AutoShape 4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80" name="AutoShape 4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81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82" name="AutoShape 4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83" name="AutoShape 4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84" name="AutoShape 4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85" name="AutoShape 4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86" name="AutoShape 4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87" name="AutoShape 4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88" name="AutoShape 5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89" name="AutoShape 5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90" name="AutoShape 5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91" name="AutoShape 5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92" name="AutoShape 5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93" name="AutoShape 5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394" name="AutoShape 5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395" name="AutoShape 5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396" name="AutoShape 5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397" name="AutoShape 5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398" name="AutoShape 6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99" name="AutoShape 6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304800</xdr:colOff>
      <xdr:row>4</xdr:row>
      <xdr:rowOff>7620</xdr:rowOff>
    </xdr:to>
    <xdr:sp macro="" textlink="">
      <xdr:nvSpPr>
        <xdr:cNvPr id="3400" name="AutoShape 6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401" name="AutoShape 6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402" name="AutoShape 6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403" name="AutoShape 6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404" name="AutoShape 6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405" name="AutoShape 6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406" name="AutoShape 6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407" name="AutoShape 6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408" name="AutoShape 7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409" name="AutoShape 71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410" name="AutoShape 7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411" name="AutoShape 7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412" name="AutoShape 7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413" name="AutoShape 7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414" name="AutoShape 7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415" name="AutoShape 7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416" name="AutoShape 7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417" name="AutoShape 7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418" name="AutoShape 8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304800</xdr:colOff>
      <xdr:row>20</xdr:row>
      <xdr:rowOff>7620</xdr:rowOff>
    </xdr:to>
    <xdr:sp macro="" textlink="">
      <xdr:nvSpPr>
        <xdr:cNvPr id="3419" name="AutoShape 81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420" name="AutoShape 8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304800</xdr:colOff>
      <xdr:row>26</xdr:row>
      <xdr:rowOff>7620</xdr:rowOff>
    </xdr:to>
    <xdr:sp macro="" textlink="">
      <xdr:nvSpPr>
        <xdr:cNvPr id="3421" name="AutoShape 8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422" name="AutoShape 8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3423" name="AutoShape 8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424" name="AutoShape 8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425" name="AutoShape 8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426" name="AutoShape 8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427" name="AutoShape 8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428" name="AutoShape 9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429" name="AutoShape 9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430" name="AutoShape 9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431" name="AutoShape 9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432" name="AutoShape 9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433" name="AutoShape 9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434" name="AutoShape 9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435" name="AutoShape 9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436" name="AutoShape 9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437" name="AutoShape 9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438" name="AutoShape 10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439" name="AutoShape 10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440" name="AutoShape 10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441" name="AutoShape 10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442" name="AutoShape 10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443" name="AutoShape 10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444" name="AutoShape 10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445" name="AutoShape 107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446" name="AutoShape 10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447" name="AutoShape 10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448" name="AutoShape 1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449" name="AutoShape 111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450" name="AutoShape 1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451" name="AutoShape 11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452" name="AutoShape 1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453" name="AutoShape 1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454" name="AutoShape 1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455" name="AutoShape 1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456" name="AutoShape 1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457" name="AutoShape 1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458" name="AutoShape 1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459" name="AutoShape 1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460" name="AutoShape 12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461" name="AutoShape 1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462" name="AutoShape 12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463" name="AutoShape 12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464" name="AutoShape 1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465" name="AutoShape 1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466" name="AutoShape 12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467" name="AutoShape 1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468" name="AutoShape 1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469" name="AutoShape 13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470" name="AutoShape 13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471" name="AutoShape 1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472" name="AutoShape 13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473" name="AutoShape 1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474" name="AutoShape 13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475" name="AutoShape 13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476" name="AutoShape 138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477" name="AutoShape 13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478" name="AutoShape 14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479" name="AutoShape 14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480" name="AutoShape 14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481" name="AutoShape 14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482" name="AutoShape 14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483" name="AutoShape 14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484" name="AutoShape 146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485" name="AutoShape 14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486" name="AutoShape 148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487" name="AutoShape 14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488" name="AutoShape 15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489" name="AutoShape 15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490" name="AutoShape 15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491" name="AutoShape 15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492" name="AutoShape 15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493" name="AutoShape 15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494" name="AutoShape 15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304800</xdr:colOff>
      <xdr:row>4</xdr:row>
      <xdr:rowOff>7620</xdr:rowOff>
    </xdr:to>
    <xdr:sp macro="" textlink="">
      <xdr:nvSpPr>
        <xdr:cNvPr id="3495" name="AutoShape 15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496" name="AutoShape 15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497" name="AutoShape 15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498" name="AutoShape 16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499" name="AutoShape 16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500" name="AutoShape 16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501" name="AutoShape 16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502" name="AutoShape 16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304800</xdr:colOff>
      <xdr:row>11</xdr:row>
      <xdr:rowOff>7620</xdr:rowOff>
    </xdr:to>
    <xdr:sp macro="" textlink="">
      <xdr:nvSpPr>
        <xdr:cNvPr id="3503" name="AutoShape 16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504" name="AutoShape 16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505" name="AutoShape 16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506" name="AutoShape 16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507" name="AutoShape 16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508" name="AutoShape 17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509" name="AutoShape 17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510" name="AutoShape 17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511" name="AutoShape 17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512" name="AutoShape 17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513" name="AutoShape 17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514" name="AutoShape 17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515" name="AutoShape 17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516" name="AutoShape 17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517" name="AutoShape 17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7620</xdr:rowOff>
    </xdr:to>
    <xdr:sp macro="" textlink="">
      <xdr:nvSpPr>
        <xdr:cNvPr id="3518" name="AutoShape 18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519" name="AutoShape 18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304800</xdr:colOff>
      <xdr:row>35</xdr:row>
      <xdr:rowOff>7620</xdr:rowOff>
    </xdr:to>
    <xdr:sp macro="" textlink="">
      <xdr:nvSpPr>
        <xdr:cNvPr id="3520" name="AutoShape 18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521" name="AutoShape 18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522" name="AutoShape 18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523" name="AutoShape 18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524" name="AutoShape 18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525" name="AutoShape 18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526" name="AutoShape 18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527" name="AutoShape 18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528" name="AutoShape 19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529" name="AutoShape 19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530" name="AutoShape 19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531" name="AutoShape 19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532" name="AutoShape 19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533" name="AutoShape 19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534" name="AutoShape 19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535" name="AutoShape 19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536" name="AutoShape 19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537" name="AutoShape 19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538" name="AutoShape 20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539" name="AutoShape 20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540" name="AutoShape 202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541" name="AutoShape 20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542" name="AutoShape 20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543" name="AutoShape 20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544" name="AutoShape 20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41453" TargetMode="External"/><Relationship Id="rId13" Type="http://schemas.openxmlformats.org/officeDocument/2006/relationships/hyperlink" Target="https://maritzcx.atlassian.net/browse/BD-42550" TargetMode="External"/><Relationship Id="rId18" Type="http://schemas.openxmlformats.org/officeDocument/2006/relationships/hyperlink" Target="https://maritzcx.atlassian.net/browse/BD-38861" TargetMode="External"/><Relationship Id="rId3" Type="http://schemas.openxmlformats.org/officeDocument/2006/relationships/hyperlink" Target="https://maritzcx.atlassian.net/browse/BD-36420" TargetMode="External"/><Relationship Id="rId21" Type="http://schemas.openxmlformats.org/officeDocument/2006/relationships/hyperlink" Target="https://maritzcx.atlassian.net/browse/BD-39683" TargetMode="External"/><Relationship Id="rId7" Type="http://schemas.openxmlformats.org/officeDocument/2006/relationships/hyperlink" Target="https://maritzcx.atlassian.net/browse/BD-41423" TargetMode="External"/><Relationship Id="rId12" Type="http://schemas.openxmlformats.org/officeDocument/2006/relationships/hyperlink" Target="https://maritzcx.atlassian.net/browse/BD-42549" TargetMode="External"/><Relationship Id="rId17" Type="http://schemas.openxmlformats.org/officeDocument/2006/relationships/hyperlink" Target="https://maritzcx.atlassian.net/issues/?jql=issueKey%20in%20(BD-38861)" TargetMode="External"/><Relationship Id="rId2" Type="http://schemas.openxmlformats.org/officeDocument/2006/relationships/hyperlink" Target="https://maritzcx.atlassian.net/browse/BD-2326" TargetMode="External"/><Relationship Id="rId16" Type="http://schemas.openxmlformats.org/officeDocument/2006/relationships/hyperlink" Target="https://maritzcx.atlassian.net/browse/BD-43213" TargetMode="External"/><Relationship Id="rId20" Type="http://schemas.openxmlformats.org/officeDocument/2006/relationships/hyperlink" Target="https://maritzcx.atlassian.net/browse/BD-39327" TargetMode="External"/><Relationship Id="rId1" Type="http://schemas.openxmlformats.org/officeDocument/2006/relationships/hyperlink" Target="https://maritzcx.atlassian.net/issues/?jql=issueKey%20in%20(BD-2326%2CBD-36420%2CBD-39484%2CBD-39684%2CBD-40382%2CBD-41423%2CBD-41453%2CBD-41458%2CBD-42380%2CBD-42383%2CBD-42549%2CBD-42550%2CBD-42692%2CBD-43163%2CBD-43213)" TargetMode="External"/><Relationship Id="rId6" Type="http://schemas.openxmlformats.org/officeDocument/2006/relationships/hyperlink" Target="https://maritzcx.atlassian.net/browse/BD-40382" TargetMode="External"/><Relationship Id="rId11" Type="http://schemas.openxmlformats.org/officeDocument/2006/relationships/hyperlink" Target="https://maritzcx.atlassian.net/browse/BD-42383" TargetMode="External"/><Relationship Id="rId5" Type="http://schemas.openxmlformats.org/officeDocument/2006/relationships/hyperlink" Target="https://maritzcx.atlassian.net/browse/BD-39684" TargetMode="External"/><Relationship Id="rId15" Type="http://schemas.openxmlformats.org/officeDocument/2006/relationships/hyperlink" Target="https://maritzcx.atlassian.net/browse/BD-43163" TargetMode="External"/><Relationship Id="rId10" Type="http://schemas.openxmlformats.org/officeDocument/2006/relationships/hyperlink" Target="https://maritzcx.atlassian.net/browse/BD-42380" TargetMode="External"/><Relationship Id="rId19" Type="http://schemas.openxmlformats.org/officeDocument/2006/relationships/hyperlink" Target="https://maritzcx.atlassian.net/issues/?jql=issueKey%20in%20(BD-39327%2CBD-39683)" TargetMode="External"/><Relationship Id="rId4" Type="http://schemas.openxmlformats.org/officeDocument/2006/relationships/hyperlink" Target="https://maritzcx.atlassian.net/browse/BD-39484" TargetMode="External"/><Relationship Id="rId9" Type="http://schemas.openxmlformats.org/officeDocument/2006/relationships/hyperlink" Target="https://maritzcx.atlassian.net/browse/BD-41458" TargetMode="External"/><Relationship Id="rId14" Type="http://schemas.openxmlformats.org/officeDocument/2006/relationships/hyperlink" Target="https://maritzcx.atlassian.net/browse/BD-42692" TargetMode="External"/><Relationship Id="rId2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41458" TargetMode="External"/><Relationship Id="rId13" Type="http://schemas.openxmlformats.org/officeDocument/2006/relationships/hyperlink" Target="https://maritzcx.atlassian.net/browse/BD-42692" TargetMode="External"/><Relationship Id="rId3" Type="http://schemas.openxmlformats.org/officeDocument/2006/relationships/hyperlink" Target="https://maritzcx.atlassian.net/browse/BD-39484" TargetMode="External"/><Relationship Id="rId7" Type="http://schemas.openxmlformats.org/officeDocument/2006/relationships/hyperlink" Target="https://maritzcx.atlassian.net/browse/BD-41453" TargetMode="External"/><Relationship Id="rId12" Type="http://schemas.openxmlformats.org/officeDocument/2006/relationships/hyperlink" Target="https://maritzcx.atlassian.net/browse/BD-42550" TargetMode="External"/><Relationship Id="rId2" Type="http://schemas.openxmlformats.org/officeDocument/2006/relationships/hyperlink" Target="https://maritzcx.atlassian.net/browse/BD-36420" TargetMode="External"/><Relationship Id="rId16" Type="http://schemas.openxmlformats.org/officeDocument/2006/relationships/hyperlink" Target="https://maritzcx.atlassian.net/browse/BD-38861" TargetMode="External"/><Relationship Id="rId1" Type="http://schemas.openxmlformats.org/officeDocument/2006/relationships/hyperlink" Target="https://maritzcx.atlassian.net/browse/BD-2326" TargetMode="External"/><Relationship Id="rId6" Type="http://schemas.openxmlformats.org/officeDocument/2006/relationships/hyperlink" Target="https://maritzcx.atlassian.net/browse/BD-41423" TargetMode="External"/><Relationship Id="rId11" Type="http://schemas.openxmlformats.org/officeDocument/2006/relationships/hyperlink" Target="https://maritzcx.atlassian.net/browse/BD-42549" TargetMode="External"/><Relationship Id="rId5" Type="http://schemas.openxmlformats.org/officeDocument/2006/relationships/hyperlink" Target="https://maritzcx.atlassian.net/browse/BD-40382" TargetMode="External"/><Relationship Id="rId15" Type="http://schemas.openxmlformats.org/officeDocument/2006/relationships/hyperlink" Target="https://maritzcx.atlassian.net/browse/BD-43213" TargetMode="External"/><Relationship Id="rId10" Type="http://schemas.openxmlformats.org/officeDocument/2006/relationships/hyperlink" Target="https://maritzcx.atlassian.net/browse/BD-42383" TargetMode="External"/><Relationship Id="rId4" Type="http://schemas.openxmlformats.org/officeDocument/2006/relationships/hyperlink" Target="https://maritzcx.atlassian.net/browse/BD-39684" TargetMode="External"/><Relationship Id="rId9" Type="http://schemas.openxmlformats.org/officeDocument/2006/relationships/hyperlink" Target="https://maritzcx.atlassian.net/browse/BD-42380" TargetMode="External"/><Relationship Id="rId14" Type="http://schemas.openxmlformats.org/officeDocument/2006/relationships/hyperlink" Target="https://maritzcx.atlassian.net/browse/BD-4316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ritzcx.atlassian.net/browse/BD-35534" TargetMode="External"/><Relationship Id="rId2" Type="http://schemas.openxmlformats.org/officeDocument/2006/relationships/hyperlink" Target="https://maritzcx.atlassian.net/browse/BD-35532" TargetMode="External"/><Relationship Id="rId1" Type="http://schemas.openxmlformats.org/officeDocument/2006/relationships/hyperlink" Target="https://maritzcx.atlassian.net/browse/BD-3553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2" t="s">
        <v>33</v>
      </c>
      <c r="B1" s="12" t="s">
        <v>24</v>
      </c>
    </row>
    <row r="2" spans="1:2" ht="54" x14ac:dyDescent="0.3">
      <c r="A2" s="9">
        <v>1</v>
      </c>
      <c r="B2" s="10" t="s">
        <v>25</v>
      </c>
    </row>
    <row r="3" spans="1:2" ht="18" x14ac:dyDescent="0.3">
      <c r="A3" s="9">
        <v>2</v>
      </c>
      <c r="B3" s="10" t="s">
        <v>26</v>
      </c>
    </row>
    <row r="4" spans="1:2" ht="18" x14ac:dyDescent="0.35">
      <c r="A4" s="11">
        <v>3</v>
      </c>
      <c r="B4" s="11" t="s">
        <v>27</v>
      </c>
    </row>
    <row r="5" spans="1:2" ht="18" x14ac:dyDescent="0.35">
      <c r="A5" s="11">
        <v>4</v>
      </c>
      <c r="B5" s="11" t="s">
        <v>28</v>
      </c>
    </row>
    <row r="6" spans="1:2" ht="54" x14ac:dyDescent="0.3">
      <c r="A6" s="9">
        <v>5</v>
      </c>
      <c r="B6" s="10" t="s">
        <v>29</v>
      </c>
    </row>
    <row r="7" spans="1:2" ht="18" x14ac:dyDescent="0.3">
      <c r="A7" s="9">
        <v>6</v>
      </c>
      <c r="B7" s="10" t="s">
        <v>30</v>
      </c>
    </row>
    <row r="8" spans="1:2" ht="18" x14ac:dyDescent="0.3">
      <c r="A8" s="9">
        <v>7</v>
      </c>
      <c r="B8" s="10" t="s">
        <v>34</v>
      </c>
    </row>
    <row r="9" spans="1:2" ht="18" x14ac:dyDescent="0.3">
      <c r="A9" s="9">
        <v>8</v>
      </c>
      <c r="B9" s="10" t="s">
        <v>31</v>
      </c>
    </row>
    <row r="10" spans="1:2" ht="18" x14ac:dyDescent="0.3">
      <c r="A10" s="31" t="s">
        <v>32</v>
      </c>
      <c r="B10" s="32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1"/>
  <sheetViews>
    <sheetView tabSelected="1" topLeftCell="A16" workbookViewId="0">
      <selection activeCell="G16" sqref="G16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37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142</v>
      </c>
      <c r="G3" s="2" t="s">
        <v>39</v>
      </c>
      <c r="H3" s="3" t="s">
        <v>16</v>
      </c>
      <c r="I3" t="s">
        <v>17</v>
      </c>
      <c r="J3" t="s">
        <v>35</v>
      </c>
    </row>
    <row r="4" spans="1:10" ht="23.4" customHeight="1" x14ac:dyDescent="0.3">
      <c r="A4" s="4" t="s">
        <v>98</v>
      </c>
      <c r="B4" s="5" t="s">
        <v>99</v>
      </c>
      <c r="C4" s="6" t="s">
        <v>13</v>
      </c>
      <c r="D4" s="6" t="s">
        <v>10</v>
      </c>
      <c r="E4" s="38" t="s">
        <v>8</v>
      </c>
      <c r="F4" s="7">
        <v>5</v>
      </c>
      <c r="G4">
        <v>5</v>
      </c>
      <c r="H4">
        <v>5</v>
      </c>
      <c r="I4">
        <v>5</v>
      </c>
    </row>
    <row r="5" spans="1:10" ht="23.4" customHeight="1" x14ac:dyDescent="0.3">
      <c r="A5" s="4" t="s">
        <v>100</v>
      </c>
      <c r="B5" s="5" t="s">
        <v>101</v>
      </c>
      <c r="C5" s="6" t="s">
        <v>9</v>
      </c>
      <c r="D5" s="6" t="s">
        <v>10</v>
      </c>
      <c r="E5" s="38" t="s">
        <v>8</v>
      </c>
      <c r="F5" s="7">
        <v>2</v>
      </c>
      <c r="G5">
        <v>2</v>
      </c>
      <c r="H5">
        <v>2</v>
      </c>
      <c r="I5">
        <v>2</v>
      </c>
    </row>
    <row r="6" spans="1:10" ht="23.4" customHeight="1" x14ac:dyDescent="0.3">
      <c r="A6" s="4" t="s">
        <v>102</v>
      </c>
      <c r="B6" s="5" t="s">
        <v>103</v>
      </c>
      <c r="C6" s="6" t="s">
        <v>9</v>
      </c>
      <c r="D6" s="6" t="s">
        <v>10</v>
      </c>
      <c r="E6" s="38" t="s">
        <v>8</v>
      </c>
      <c r="F6" s="7">
        <v>2</v>
      </c>
      <c r="G6">
        <v>2</v>
      </c>
      <c r="H6">
        <v>2</v>
      </c>
      <c r="I6">
        <v>2</v>
      </c>
    </row>
    <row r="7" spans="1:10" ht="23.4" customHeight="1" x14ac:dyDescent="0.3">
      <c r="A7" s="4" t="s">
        <v>104</v>
      </c>
      <c r="B7" s="5" t="s">
        <v>105</v>
      </c>
      <c r="C7" s="6" t="s">
        <v>7</v>
      </c>
      <c r="D7" s="6" t="s">
        <v>92</v>
      </c>
      <c r="E7" s="38" t="s">
        <v>8</v>
      </c>
      <c r="F7" s="7">
        <v>3</v>
      </c>
      <c r="G7">
        <v>3</v>
      </c>
      <c r="H7">
        <v>3</v>
      </c>
      <c r="I7">
        <v>3</v>
      </c>
    </row>
    <row r="8" spans="1:10" ht="23.4" customHeight="1" x14ac:dyDescent="0.3">
      <c r="A8" s="4" t="s">
        <v>106</v>
      </c>
      <c r="B8" s="5" t="s">
        <v>107</v>
      </c>
      <c r="C8" s="6" t="s">
        <v>11</v>
      </c>
      <c r="D8" s="6" t="s">
        <v>10</v>
      </c>
      <c r="E8" s="38" t="s">
        <v>12</v>
      </c>
      <c r="F8" s="7">
        <v>2</v>
      </c>
      <c r="G8">
        <v>2</v>
      </c>
      <c r="H8">
        <v>2</v>
      </c>
      <c r="I8">
        <v>2</v>
      </c>
    </row>
    <row r="9" spans="1:10" ht="23.4" customHeight="1" x14ac:dyDescent="0.3">
      <c r="A9" s="4" t="s">
        <v>108</v>
      </c>
      <c r="B9" s="5" t="s">
        <v>109</v>
      </c>
      <c r="C9" s="6" t="s">
        <v>7</v>
      </c>
      <c r="D9" s="6" t="s">
        <v>93</v>
      </c>
      <c r="E9" s="38" t="s">
        <v>8</v>
      </c>
      <c r="F9" s="7">
        <v>2</v>
      </c>
      <c r="G9">
        <v>2</v>
      </c>
      <c r="H9">
        <v>2</v>
      </c>
      <c r="I9">
        <v>2</v>
      </c>
    </row>
    <row r="10" spans="1:10" ht="23.4" customHeight="1" x14ac:dyDescent="0.3">
      <c r="A10" s="4" t="s">
        <v>110</v>
      </c>
      <c r="B10" s="5" t="s">
        <v>111</v>
      </c>
      <c r="C10" s="6" t="s">
        <v>13</v>
      </c>
      <c r="D10" s="6" t="s">
        <v>10</v>
      </c>
      <c r="E10" s="38" t="s">
        <v>8</v>
      </c>
      <c r="F10" s="7">
        <v>2</v>
      </c>
      <c r="G10">
        <v>2</v>
      </c>
      <c r="H10">
        <v>2</v>
      </c>
      <c r="I10">
        <v>2</v>
      </c>
    </row>
    <row r="11" spans="1:10" ht="23.4" customHeight="1" x14ac:dyDescent="0.3">
      <c r="A11" s="4" t="s">
        <v>112</v>
      </c>
      <c r="B11" s="5" t="s">
        <v>113</v>
      </c>
      <c r="C11" s="6" t="s">
        <v>13</v>
      </c>
      <c r="D11" s="6" t="s">
        <v>10</v>
      </c>
      <c r="E11" s="38" t="s">
        <v>8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114</v>
      </c>
      <c r="B12" s="5" t="s">
        <v>115</v>
      </c>
      <c r="C12" s="6" t="s">
        <v>7</v>
      </c>
      <c r="D12" s="6" t="s">
        <v>92</v>
      </c>
      <c r="E12" s="38" t="s">
        <v>8</v>
      </c>
      <c r="F12" s="7">
        <v>2</v>
      </c>
      <c r="G12">
        <v>2</v>
      </c>
      <c r="H12">
        <v>2</v>
      </c>
      <c r="I12">
        <v>2</v>
      </c>
    </row>
    <row r="13" spans="1:10" ht="23.4" customHeight="1" x14ac:dyDescent="0.3">
      <c r="A13" s="4" t="s">
        <v>116</v>
      </c>
      <c r="B13" s="5" t="s">
        <v>117</v>
      </c>
      <c r="C13" s="6" t="s">
        <v>7</v>
      </c>
      <c r="D13" s="6" t="s">
        <v>93</v>
      </c>
      <c r="E13" s="38" t="s">
        <v>8</v>
      </c>
      <c r="F13" s="7">
        <v>2</v>
      </c>
      <c r="G13">
        <v>2</v>
      </c>
      <c r="H13">
        <v>2</v>
      </c>
      <c r="I13">
        <v>2</v>
      </c>
    </row>
    <row r="14" spans="1:10" ht="23.4" customHeight="1" x14ac:dyDescent="0.3">
      <c r="A14" s="4" t="s">
        <v>118</v>
      </c>
      <c r="B14" s="5" t="s">
        <v>119</v>
      </c>
      <c r="C14" s="6" t="s">
        <v>9</v>
      </c>
      <c r="D14" s="6" t="s">
        <v>10</v>
      </c>
      <c r="E14" s="38" t="s">
        <v>8</v>
      </c>
      <c r="F14" s="7">
        <v>2</v>
      </c>
      <c r="G14">
        <v>2</v>
      </c>
      <c r="H14">
        <v>2</v>
      </c>
      <c r="I14">
        <v>2</v>
      </c>
    </row>
    <row r="15" spans="1:10" ht="23.4" customHeight="1" x14ac:dyDescent="0.3">
      <c r="A15" s="4" t="s">
        <v>120</v>
      </c>
      <c r="B15" s="5" t="s">
        <v>121</v>
      </c>
      <c r="C15" s="6" t="s">
        <v>9</v>
      </c>
      <c r="D15" s="6" t="s">
        <v>10</v>
      </c>
      <c r="E15" s="38" t="s">
        <v>8</v>
      </c>
      <c r="F15" s="7">
        <v>2</v>
      </c>
      <c r="G15">
        <v>2</v>
      </c>
      <c r="H15">
        <v>2</v>
      </c>
      <c r="I15">
        <v>2</v>
      </c>
    </row>
    <row r="16" spans="1:10" ht="23.4" customHeight="1" x14ac:dyDescent="0.3">
      <c r="A16" s="4" t="s">
        <v>122</v>
      </c>
      <c r="B16" s="5" t="s">
        <v>123</v>
      </c>
      <c r="C16" s="6" t="s">
        <v>9</v>
      </c>
      <c r="D16" s="6" t="s">
        <v>10</v>
      </c>
      <c r="E16" s="38" t="s">
        <v>8</v>
      </c>
      <c r="F16" s="30">
        <v>2</v>
      </c>
      <c r="G16">
        <v>2</v>
      </c>
      <c r="J16">
        <v>2</v>
      </c>
    </row>
    <row r="17" spans="1:10" ht="23.4" customHeight="1" x14ac:dyDescent="0.3">
      <c r="A17" s="4" t="s">
        <v>124</v>
      </c>
      <c r="B17" s="5" t="s">
        <v>125</v>
      </c>
      <c r="C17" s="6" t="s">
        <v>9</v>
      </c>
      <c r="D17" s="6" t="s">
        <v>10</v>
      </c>
      <c r="E17" s="38" t="s">
        <v>8</v>
      </c>
      <c r="F17" s="30">
        <v>3</v>
      </c>
      <c r="G17">
        <v>3</v>
      </c>
      <c r="J17">
        <v>3</v>
      </c>
    </row>
    <row r="18" spans="1:10" ht="23.4" customHeight="1" x14ac:dyDescent="0.3">
      <c r="A18" s="4" t="s">
        <v>127</v>
      </c>
      <c r="B18" s="5" t="s">
        <v>128</v>
      </c>
      <c r="C18" s="6" t="s">
        <v>7</v>
      </c>
      <c r="D18" s="6" t="s">
        <v>129</v>
      </c>
      <c r="E18" s="38" t="s">
        <v>8</v>
      </c>
      <c r="F18" s="30">
        <v>1</v>
      </c>
      <c r="G18">
        <v>1</v>
      </c>
      <c r="J18">
        <v>1</v>
      </c>
    </row>
    <row r="19" spans="1:10" ht="23.4" customHeight="1" x14ac:dyDescent="0.3">
      <c r="A19" s="8"/>
    </row>
    <row r="20" spans="1:10" ht="23.4" customHeight="1" x14ac:dyDescent="0.3">
      <c r="A20" s="8"/>
    </row>
    <row r="21" spans="1:10" ht="23.4" customHeight="1" x14ac:dyDescent="0.3">
      <c r="A21" s="37" t="s">
        <v>95</v>
      </c>
    </row>
    <row r="22" spans="1:10" ht="23.4" customHeight="1" thickBot="1" x14ac:dyDescent="0.35">
      <c r="A22" s="1" t="s">
        <v>1</v>
      </c>
    </row>
    <row r="23" spans="1:10" ht="23.4" customHeight="1" x14ac:dyDescent="0.3">
      <c r="A23" s="2" t="s">
        <v>2</v>
      </c>
      <c r="B23" s="2" t="s">
        <v>3</v>
      </c>
      <c r="C23" s="2" t="s">
        <v>4</v>
      </c>
      <c r="D23" s="2" t="s">
        <v>5</v>
      </c>
      <c r="E23" s="2" t="s">
        <v>6</v>
      </c>
      <c r="F23" s="3" t="s">
        <v>131</v>
      </c>
      <c r="H23" t="s">
        <v>15</v>
      </c>
    </row>
    <row r="24" spans="1:10" ht="23.4" customHeight="1" x14ac:dyDescent="0.3">
      <c r="A24" s="4" t="s">
        <v>132</v>
      </c>
      <c r="B24" s="5" t="s">
        <v>133</v>
      </c>
      <c r="C24" s="6" t="s">
        <v>9</v>
      </c>
      <c r="D24" s="6" t="s">
        <v>10</v>
      </c>
      <c r="E24" s="40" t="s">
        <v>96</v>
      </c>
      <c r="F24" s="7">
        <v>3</v>
      </c>
      <c r="G24" s="20"/>
      <c r="H24" s="7">
        <v>3</v>
      </c>
    </row>
    <row r="25" spans="1:10" ht="23.4" customHeight="1" x14ac:dyDescent="0.3">
      <c r="A25" s="8"/>
    </row>
    <row r="26" spans="1:10" ht="23.4" customHeight="1" x14ac:dyDescent="0.3">
      <c r="A26" s="8"/>
    </row>
    <row r="27" spans="1:10" ht="23.4" customHeight="1" x14ac:dyDescent="0.3">
      <c r="A27" s="37" t="s">
        <v>134</v>
      </c>
    </row>
    <row r="28" spans="1:10" ht="23.4" customHeight="1" thickBot="1" x14ac:dyDescent="0.35">
      <c r="A28" s="1" t="s">
        <v>1</v>
      </c>
    </row>
    <row r="29" spans="1:10" ht="23.4" customHeight="1" x14ac:dyDescent="0.3">
      <c r="A29" s="2" t="s">
        <v>2</v>
      </c>
      <c r="B29" s="2" t="s">
        <v>3</v>
      </c>
      <c r="C29" s="2" t="s">
        <v>4</v>
      </c>
      <c r="D29" s="2" t="s">
        <v>5</v>
      </c>
      <c r="E29" s="2" t="s">
        <v>6</v>
      </c>
      <c r="F29" s="3" t="s">
        <v>135</v>
      </c>
    </row>
    <row r="30" spans="1:10" ht="23.4" customHeight="1" x14ac:dyDescent="0.3">
      <c r="A30" s="4" t="s">
        <v>136</v>
      </c>
      <c r="B30" s="5" t="s">
        <v>137</v>
      </c>
      <c r="C30" s="6" t="s">
        <v>9</v>
      </c>
      <c r="D30" s="6" t="s">
        <v>10</v>
      </c>
      <c r="E30" s="39" t="s">
        <v>138</v>
      </c>
      <c r="F30" s="7">
        <v>3</v>
      </c>
      <c r="H30">
        <v>3</v>
      </c>
    </row>
    <row r="31" spans="1:10" ht="23.4" customHeight="1" x14ac:dyDescent="0.3">
      <c r="A31" s="4" t="s">
        <v>139</v>
      </c>
      <c r="B31" s="5" t="s">
        <v>140</v>
      </c>
      <c r="C31" s="6" t="s">
        <v>7</v>
      </c>
      <c r="D31" s="6" t="s">
        <v>92</v>
      </c>
      <c r="E31" s="39" t="s">
        <v>141</v>
      </c>
      <c r="F31" s="7">
        <v>3</v>
      </c>
      <c r="H31">
        <v>3</v>
      </c>
    </row>
    <row r="32" spans="1:10" ht="23.4" customHeight="1" thickBot="1" x14ac:dyDescent="0.35">
      <c r="A32" s="1"/>
    </row>
    <row r="33" spans="1:6" ht="23.4" customHeight="1" x14ac:dyDescent="0.3">
      <c r="A33" s="2"/>
      <c r="B33" s="2"/>
      <c r="C33" s="2"/>
      <c r="D33" s="2"/>
      <c r="E33" s="2"/>
      <c r="F33" s="3"/>
    </row>
    <row r="34" spans="1:6" ht="23.4" customHeight="1" x14ac:dyDescent="0.3">
      <c r="A34" s="4"/>
      <c r="B34" s="5"/>
      <c r="C34" s="6"/>
      <c r="D34" s="6"/>
      <c r="E34" s="39"/>
      <c r="F34" s="7"/>
    </row>
    <row r="35" spans="1:6" ht="23.4" customHeight="1" x14ac:dyDescent="0.3">
      <c r="A35" s="4"/>
      <c r="B35" s="5"/>
      <c r="C35" s="6"/>
      <c r="D35" s="6"/>
      <c r="E35" s="39"/>
      <c r="F35" s="7"/>
    </row>
    <row r="36" spans="1:6" ht="23.4" customHeight="1" x14ac:dyDescent="0.3">
      <c r="A36" s="4"/>
      <c r="B36" s="5"/>
      <c r="C36" s="6"/>
      <c r="D36" s="6"/>
      <c r="E36" s="40"/>
      <c r="F36" s="7"/>
    </row>
    <row r="37" spans="1:6" ht="23.4" customHeight="1" thickBot="1" x14ac:dyDescent="0.35">
      <c r="A37" s="1"/>
    </row>
    <row r="38" spans="1:6" ht="23.4" customHeight="1" x14ac:dyDescent="0.3">
      <c r="A38" s="2"/>
      <c r="B38" s="2"/>
      <c r="C38" s="2"/>
      <c r="D38" s="2"/>
      <c r="E38" s="2"/>
      <c r="F38" s="3"/>
    </row>
    <row r="39" spans="1:6" ht="23.4" customHeight="1" x14ac:dyDescent="0.3">
      <c r="A39" s="4"/>
      <c r="B39" s="5"/>
      <c r="C39" s="6"/>
      <c r="D39" s="6"/>
      <c r="E39" s="29"/>
      <c r="F39" s="7"/>
    </row>
    <row r="40" spans="1:6" ht="23.4" customHeight="1" x14ac:dyDescent="0.3">
      <c r="A40" s="4"/>
      <c r="B40" s="5"/>
      <c r="C40" s="6"/>
      <c r="D40" s="6"/>
      <c r="E40" s="29"/>
      <c r="F40" s="7"/>
    </row>
    <row r="41" spans="1:6" ht="23.4" customHeight="1" x14ac:dyDescent="0.3">
      <c r="A41" s="4"/>
      <c r="B41" s="5"/>
      <c r="C41" s="6"/>
      <c r="D41" s="6"/>
      <c r="E41" s="21"/>
      <c r="F41" s="7"/>
    </row>
  </sheetData>
  <hyperlinks>
    <hyperlink ref="A2" r:id="rId1" display="https://maritzcx.atlassian.net/issues/?jql=issueKey%20in%20(BD-2326%2CBD-36420%2CBD-39484%2CBD-39684%2CBD-40382%2CBD-41423%2CBD-41453%2CBD-41458%2CBD-42380%2CBD-42383%2CBD-42549%2CBD-42550%2CBD-42692%2CBD-43163%2CBD-43213)"/>
    <hyperlink ref="A4" r:id="rId2" display="https://maritzcx.atlassian.net/browse/BD-2326"/>
    <hyperlink ref="A5" r:id="rId3" display="https://maritzcx.atlassian.net/browse/BD-36420"/>
    <hyperlink ref="A6" r:id="rId4" display="https://maritzcx.atlassian.net/browse/BD-39484"/>
    <hyperlink ref="A7" r:id="rId5" display="https://maritzcx.atlassian.net/browse/BD-39684"/>
    <hyperlink ref="A8" r:id="rId6" display="https://maritzcx.atlassian.net/browse/BD-40382"/>
    <hyperlink ref="A9" r:id="rId7" display="https://maritzcx.atlassian.net/browse/BD-41423"/>
    <hyperlink ref="A10" r:id="rId8" display="https://maritzcx.atlassian.net/browse/BD-41453"/>
    <hyperlink ref="A11" r:id="rId9" display="https://maritzcx.atlassian.net/browse/BD-41458"/>
    <hyperlink ref="A12" r:id="rId10" display="https://maritzcx.atlassian.net/browse/BD-42380"/>
    <hyperlink ref="A13" r:id="rId11" display="https://maritzcx.atlassian.net/browse/BD-42383"/>
    <hyperlink ref="A14" r:id="rId12" display="https://maritzcx.atlassian.net/browse/BD-42549"/>
    <hyperlink ref="A15" r:id="rId13" display="https://maritzcx.atlassian.net/browse/BD-42550"/>
    <hyperlink ref="A16" r:id="rId14" display="https://maritzcx.atlassian.net/browse/BD-42692"/>
    <hyperlink ref="A17" r:id="rId15" display="https://maritzcx.atlassian.net/browse/BD-43163"/>
    <hyperlink ref="A18" r:id="rId16" display="https://maritzcx.atlassian.net/browse/BD-43213"/>
    <hyperlink ref="A22" r:id="rId17" display="https://maritzcx.atlassian.net/issues/?jql=issueKey%20in%20(BD-38861)"/>
    <hyperlink ref="A24" r:id="rId18" display="https://maritzcx.atlassian.net/browse/BD-38861"/>
    <hyperlink ref="A28" r:id="rId19" display="https://maritzcx.atlassian.net/issues/?jql=issueKey%20in%20(BD-39327%2CBD-39683)"/>
    <hyperlink ref="A30" r:id="rId20" display="https://maritzcx.atlassian.net/browse/BD-39327"/>
    <hyperlink ref="A31" r:id="rId21" display="https://maritzcx.atlassian.net/browse/BD-39683"/>
  </hyperlinks>
  <pageMargins left="0.7" right="0.7" top="0.75" bottom="0.75" header="0.3" footer="0.3"/>
  <drawing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19" sqref="A19:D20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9.5546875" bestFit="1" customWidth="1"/>
    <col min="5" max="5" width="19.6640625" bestFit="1" customWidth="1"/>
  </cols>
  <sheetData>
    <row r="1" spans="1:4" ht="15" thickBot="1" x14ac:dyDescent="0.35">
      <c r="A1" s="23" t="s">
        <v>2</v>
      </c>
      <c r="B1" s="23" t="s">
        <v>3</v>
      </c>
      <c r="C1" s="23" t="s">
        <v>4</v>
      </c>
      <c r="D1" s="24" t="s">
        <v>97</v>
      </c>
    </row>
    <row r="2" spans="1:4" ht="23.4" thickBot="1" x14ac:dyDescent="0.35">
      <c r="A2" s="25" t="s">
        <v>98</v>
      </c>
      <c r="B2" s="26" t="s">
        <v>99</v>
      </c>
      <c r="C2" s="27" t="s">
        <v>13</v>
      </c>
      <c r="D2" s="28">
        <v>5</v>
      </c>
    </row>
    <row r="3" spans="1:4" ht="15" thickBot="1" x14ac:dyDescent="0.35">
      <c r="A3" s="25" t="s">
        <v>100</v>
      </c>
      <c r="B3" s="26" t="s">
        <v>101</v>
      </c>
      <c r="C3" s="27" t="s">
        <v>9</v>
      </c>
      <c r="D3" s="28">
        <v>2</v>
      </c>
    </row>
    <row r="4" spans="1:4" ht="15" thickBot="1" x14ac:dyDescent="0.35">
      <c r="A4" s="25" t="s">
        <v>102</v>
      </c>
      <c r="B4" s="26" t="s">
        <v>103</v>
      </c>
      <c r="C4" s="27" t="s">
        <v>9</v>
      </c>
      <c r="D4" s="28">
        <v>2</v>
      </c>
    </row>
    <row r="5" spans="1:4" ht="15" thickBot="1" x14ac:dyDescent="0.35">
      <c r="A5" s="25" t="s">
        <v>104</v>
      </c>
      <c r="B5" s="26" t="s">
        <v>105</v>
      </c>
      <c r="C5" s="27" t="s">
        <v>7</v>
      </c>
      <c r="D5" s="28">
        <v>3</v>
      </c>
    </row>
    <row r="6" spans="1:4" ht="23.4" thickBot="1" x14ac:dyDescent="0.35">
      <c r="A6" s="25" t="s">
        <v>106</v>
      </c>
      <c r="B6" s="26" t="s">
        <v>107</v>
      </c>
      <c r="C6" s="27" t="s">
        <v>11</v>
      </c>
      <c r="D6" s="28">
        <v>2</v>
      </c>
    </row>
    <row r="7" spans="1:4" ht="23.4" thickBot="1" x14ac:dyDescent="0.35">
      <c r="A7" s="25" t="s">
        <v>108</v>
      </c>
      <c r="B7" s="26" t="s">
        <v>109</v>
      </c>
      <c r="C7" s="27" t="s">
        <v>7</v>
      </c>
      <c r="D7" s="28">
        <v>2</v>
      </c>
    </row>
    <row r="8" spans="1:4" ht="23.4" thickBot="1" x14ac:dyDescent="0.35">
      <c r="A8" s="25" t="s">
        <v>110</v>
      </c>
      <c r="B8" s="26" t="s">
        <v>111</v>
      </c>
      <c r="C8" s="27" t="s">
        <v>13</v>
      </c>
      <c r="D8" s="28">
        <v>2</v>
      </c>
    </row>
    <row r="9" spans="1:4" ht="23.4" thickBot="1" x14ac:dyDescent="0.35">
      <c r="A9" s="25" t="s">
        <v>112</v>
      </c>
      <c r="B9" s="26" t="s">
        <v>113</v>
      </c>
      <c r="C9" s="27" t="s">
        <v>13</v>
      </c>
      <c r="D9" s="28">
        <v>1</v>
      </c>
    </row>
    <row r="10" spans="1:4" ht="15" thickBot="1" x14ac:dyDescent="0.35">
      <c r="A10" s="25" t="s">
        <v>114</v>
      </c>
      <c r="B10" s="26" t="s">
        <v>115</v>
      </c>
      <c r="C10" s="27" t="s">
        <v>7</v>
      </c>
      <c r="D10" s="28">
        <v>2</v>
      </c>
    </row>
    <row r="11" spans="1:4" ht="23.4" thickBot="1" x14ac:dyDescent="0.35">
      <c r="A11" s="25" t="s">
        <v>116</v>
      </c>
      <c r="B11" s="26" t="s">
        <v>117</v>
      </c>
      <c r="C11" s="27" t="s">
        <v>7</v>
      </c>
      <c r="D11" s="28">
        <v>2</v>
      </c>
    </row>
    <row r="12" spans="1:4" ht="15" thickBot="1" x14ac:dyDescent="0.35">
      <c r="A12" s="25" t="s">
        <v>118</v>
      </c>
      <c r="B12" s="26" t="s">
        <v>119</v>
      </c>
      <c r="C12" s="27" t="s">
        <v>9</v>
      </c>
      <c r="D12" s="28">
        <v>2</v>
      </c>
    </row>
    <row r="13" spans="1:4" ht="23.4" thickBot="1" x14ac:dyDescent="0.35">
      <c r="A13" s="25" t="s">
        <v>120</v>
      </c>
      <c r="B13" s="26" t="s">
        <v>121</v>
      </c>
      <c r="C13" s="27" t="s">
        <v>9</v>
      </c>
      <c r="D13" s="28">
        <v>2</v>
      </c>
    </row>
    <row r="14" spans="1:4" ht="15" thickBot="1" x14ac:dyDescent="0.35">
      <c r="A14" s="25" t="s">
        <v>122</v>
      </c>
      <c r="B14" s="26" t="s">
        <v>123</v>
      </c>
      <c r="C14" s="27" t="s">
        <v>9</v>
      </c>
      <c r="D14" s="28" t="s">
        <v>94</v>
      </c>
    </row>
    <row r="15" spans="1:4" ht="15" thickBot="1" x14ac:dyDescent="0.35">
      <c r="A15" s="25" t="s">
        <v>124</v>
      </c>
      <c r="B15" s="26" t="s">
        <v>125</v>
      </c>
      <c r="C15" s="27" t="s">
        <v>9</v>
      </c>
      <c r="D15" s="28" t="s">
        <v>126</v>
      </c>
    </row>
    <row r="16" spans="1:4" ht="15" thickBot="1" x14ac:dyDescent="0.35">
      <c r="A16" s="25" t="s">
        <v>127</v>
      </c>
      <c r="B16" s="26" t="s">
        <v>128</v>
      </c>
      <c r="C16" s="27" t="s">
        <v>7</v>
      </c>
      <c r="D16" s="28" t="s">
        <v>130</v>
      </c>
    </row>
    <row r="17" spans="1:4" x14ac:dyDescent="0.3">
      <c r="A17" s="8"/>
    </row>
    <row r="18" spans="1:4" ht="15" thickBot="1" x14ac:dyDescent="0.35">
      <c r="A18" s="8"/>
    </row>
    <row r="19" spans="1:4" ht="15" thickBot="1" x14ac:dyDescent="0.35">
      <c r="A19" s="23" t="s">
        <v>2</v>
      </c>
      <c r="B19" s="23" t="s">
        <v>3</v>
      </c>
      <c r="C19" s="23" t="s">
        <v>4</v>
      </c>
      <c r="D19" s="24" t="s">
        <v>40</v>
      </c>
    </row>
    <row r="20" spans="1:4" ht="15" thickBot="1" x14ac:dyDescent="0.35">
      <c r="A20" s="25" t="s">
        <v>132</v>
      </c>
      <c r="B20" s="26" t="s">
        <v>133</v>
      </c>
      <c r="C20" s="27" t="s">
        <v>9</v>
      </c>
      <c r="D20" s="28">
        <v>3</v>
      </c>
    </row>
    <row r="21" spans="1:4" ht="15" thickBot="1" x14ac:dyDescent="0.35">
      <c r="A21" s="23"/>
      <c r="B21" s="23"/>
      <c r="C21" s="23"/>
    </row>
    <row r="22" spans="1:4" ht="15" thickBot="1" x14ac:dyDescent="0.35">
      <c r="A22" s="25"/>
      <c r="B22" s="26"/>
      <c r="C22" s="27"/>
    </row>
    <row r="23" spans="1:4" ht="15" thickBot="1" x14ac:dyDescent="0.35">
      <c r="A23" s="25"/>
      <c r="B23" s="26"/>
      <c r="C23" s="27"/>
    </row>
    <row r="24" spans="1:4" ht="15" thickBot="1" x14ac:dyDescent="0.35">
      <c r="A24" s="25"/>
      <c r="B24" s="26"/>
      <c r="C24" s="27"/>
    </row>
  </sheetData>
  <hyperlinks>
    <hyperlink ref="A2" r:id="rId1" display="https://maritzcx.atlassian.net/browse/BD-2326"/>
    <hyperlink ref="A3" r:id="rId2" display="https://maritzcx.atlassian.net/browse/BD-36420"/>
    <hyperlink ref="A4" r:id="rId3" display="https://maritzcx.atlassian.net/browse/BD-39484"/>
    <hyperlink ref="A5" r:id="rId4" display="https://maritzcx.atlassian.net/browse/BD-39684"/>
    <hyperlink ref="A6" r:id="rId5" display="https://maritzcx.atlassian.net/browse/BD-40382"/>
    <hyperlink ref="A7" r:id="rId6" display="https://maritzcx.atlassian.net/browse/BD-41423"/>
    <hyperlink ref="A8" r:id="rId7" display="https://maritzcx.atlassian.net/browse/BD-41453"/>
    <hyperlink ref="A9" r:id="rId8" display="https://maritzcx.atlassian.net/browse/BD-41458"/>
    <hyperlink ref="A10" r:id="rId9" display="https://maritzcx.atlassian.net/browse/BD-42380"/>
    <hyperlink ref="A11" r:id="rId10" display="https://maritzcx.atlassian.net/browse/BD-42383"/>
    <hyperlink ref="A12" r:id="rId11" display="https://maritzcx.atlassian.net/browse/BD-42549"/>
    <hyperlink ref="A13" r:id="rId12" display="https://maritzcx.atlassian.net/browse/BD-42550"/>
    <hyperlink ref="A14" r:id="rId13" display="https://maritzcx.atlassian.net/browse/BD-42692"/>
    <hyperlink ref="A15" r:id="rId14" display="https://maritzcx.atlassian.net/browse/BD-43163"/>
    <hyperlink ref="A16" r:id="rId15" display="https://maritzcx.atlassian.net/browse/BD-43213"/>
    <hyperlink ref="A20" r:id="rId16" display="https://maritzcx.atlassian.net/browse/BD-3886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workbookViewId="0">
      <selection activeCell="A2" sqref="A2"/>
    </sheetView>
  </sheetViews>
  <sheetFormatPr defaultColWidth="18.5546875" defaultRowHeight="18" x14ac:dyDescent="0.35"/>
  <cols>
    <col min="1" max="1" width="29.77734375" style="18" bestFit="1" customWidth="1"/>
    <col min="2" max="2" width="16" style="18" customWidth="1"/>
    <col min="3" max="3" width="17.88671875" style="18" customWidth="1"/>
    <col min="4" max="4" width="35.6640625" style="18" bestFit="1" customWidth="1"/>
    <col min="5" max="5" width="21.88671875" style="18" customWidth="1"/>
    <col min="6" max="6" width="24.33203125" style="18" customWidth="1"/>
    <col min="7" max="7" width="15.21875" style="18" bestFit="1" customWidth="1"/>
    <col min="8" max="16384" width="18.5546875" style="18"/>
  </cols>
  <sheetData>
    <row r="1" spans="1:7" ht="35.4" thickBot="1" x14ac:dyDescent="0.4">
      <c r="A1" s="13" t="s">
        <v>18</v>
      </c>
      <c r="B1" s="14" t="s">
        <v>17</v>
      </c>
      <c r="C1" s="14" t="s">
        <v>19</v>
      </c>
      <c r="D1" s="14" t="s">
        <v>14</v>
      </c>
      <c r="E1" s="14" t="s">
        <v>20</v>
      </c>
      <c r="F1" s="14" t="s">
        <v>21</v>
      </c>
      <c r="G1" s="14" t="s">
        <v>22</v>
      </c>
    </row>
    <row r="2" spans="1:7" ht="18.600000000000001" thickBot="1" x14ac:dyDescent="0.4">
      <c r="A2" s="15">
        <v>36</v>
      </c>
      <c r="B2" s="16">
        <v>27</v>
      </c>
      <c r="C2" s="17">
        <f>B2/A2</f>
        <v>0.75</v>
      </c>
      <c r="D2" s="16">
        <v>33</v>
      </c>
      <c r="E2" s="17">
        <f>D2/A2</f>
        <v>0.91666666666666663</v>
      </c>
      <c r="F2" s="11">
        <v>6</v>
      </c>
      <c r="G2" s="11">
        <v>5</v>
      </c>
    </row>
    <row r="4" spans="1:7" x14ac:dyDescent="0.35">
      <c r="A4" s="35" t="s">
        <v>23</v>
      </c>
      <c r="B4" s="33"/>
      <c r="C4" s="33"/>
      <c r="D4" s="33"/>
      <c r="E4" s="33"/>
      <c r="F4" s="33"/>
      <c r="G4" s="33"/>
    </row>
    <row r="5" spans="1:7" x14ac:dyDescent="0.35">
      <c r="A5" s="36"/>
      <c r="B5" s="34"/>
      <c r="C5" s="34"/>
      <c r="D5" s="34"/>
      <c r="E5" s="34"/>
      <c r="F5" s="34"/>
      <c r="G5" s="34"/>
    </row>
    <row r="6" spans="1:7" x14ac:dyDescent="0.35">
      <c r="E6" s="22" t="s">
        <v>40</v>
      </c>
      <c r="F6" s="22" t="s">
        <v>41</v>
      </c>
    </row>
    <row r="7" spans="1:7" x14ac:dyDescent="0.35">
      <c r="A7" s="19" t="s">
        <v>9</v>
      </c>
      <c r="B7" s="11">
        <v>8</v>
      </c>
      <c r="D7" s="19" t="s">
        <v>16</v>
      </c>
      <c r="E7" s="11">
        <v>36</v>
      </c>
      <c r="F7" s="11">
        <v>15</v>
      </c>
    </row>
    <row r="8" spans="1:7" x14ac:dyDescent="0.35">
      <c r="A8" s="19" t="s">
        <v>7</v>
      </c>
      <c r="B8" s="11">
        <v>6</v>
      </c>
      <c r="D8" s="19" t="s">
        <v>17</v>
      </c>
      <c r="E8" s="11">
        <v>27</v>
      </c>
      <c r="F8" s="11">
        <v>12</v>
      </c>
    </row>
    <row r="9" spans="1:7" x14ac:dyDescent="0.35">
      <c r="A9" s="19" t="s">
        <v>11</v>
      </c>
      <c r="B9" s="11">
        <v>1</v>
      </c>
      <c r="D9" s="19" t="s">
        <v>14</v>
      </c>
      <c r="E9" s="11">
        <v>33</v>
      </c>
      <c r="F9" s="11">
        <v>15</v>
      </c>
    </row>
    <row r="10" spans="1:7" x14ac:dyDescent="0.35">
      <c r="A10" s="19" t="s">
        <v>13</v>
      </c>
      <c r="B10" s="11">
        <v>3</v>
      </c>
      <c r="D10" s="19" t="s">
        <v>15</v>
      </c>
      <c r="E10" s="11">
        <v>3</v>
      </c>
      <c r="F10" s="11">
        <v>1</v>
      </c>
    </row>
    <row r="11" spans="1:7" x14ac:dyDescent="0.35">
      <c r="A11" s="19" t="s">
        <v>35</v>
      </c>
      <c r="B11" s="11">
        <v>3</v>
      </c>
      <c r="D11" s="19" t="s">
        <v>36</v>
      </c>
      <c r="E11" s="11">
        <v>6</v>
      </c>
      <c r="F11" s="11">
        <v>3</v>
      </c>
    </row>
    <row r="12" spans="1:7" x14ac:dyDescent="0.35">
      <c r="D12" s="19" t="s">
        <v>37</v>
      </c>
      <c r="E12" s="11">
        <v>13</v>
      </c>
      <c r="F12" s="11">
        <v>6</v>
      </c>
    </row>
    <row r="13" spans="1:7" x14ac:dyDescent="0.35">
      <c r="D13" s="19" t="s">
        <v>38</v>
      </c>
      <c r="E13" s="11">
        <v>10</v>
      </c>
      <c r="F13" s="11">
        <v>5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"/>
  <sheetViews>
    <sheetView workbookViewId="0">
      <selection sqref="A1:D2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10.77734375" customWidth="1"/>
    <col min="5" max="5" width="14.21875" bestFit="1" customWidth="1"/>
    <col min="6" max="6" width="16" bestFit="1" customWidth="1"/>
    <col min="7" max="7" width="19.6640625" bestFit="1" customWidth="1"/>
  </cols>
  <sheetData>
    <row r="1" spans="1:6" ht="15" thickBot="1" x14ac:dyDescent="0.35">
      <c r="A1" s="23" t="s">
        <v>2</v>
      </c>
      <c r="B1" s="23" t="s">
        <v>3</v>
      </c>
      <c r="C1" s="23" t="s">
        <v>4</v>
      </c>
      <c r="D1" s="24" t="s">
        <v>40</v>
      </c>
      <c r="E1" s="2"/>
      <c r="F1" s="3"/>
    </row>
    <row r="2" spans="1:6" ht="15" thickBot="1" x14ac:dyDescent="0.35">
      <c r="A2" s="25" t="s">
        <v>42</v>
      </c>
      <c r="B2" s="26" t="s">
        <v>43</v>
      </c>
      <c r="C2" s="27" t="s">
        <v>11</v>
      </c>
      <c r="D2" s="28">
        <v>3</v>
      </c>
    </row>
    <row r="3" spans="1:6" ht="23.4" thickBot="1" x14ac:dyDescent="0.35">
      <c r="A3" s="25" t="s">
        <v>44</v>
      </c>
      <c r="B3" s="26" t="s">
        <v>45</v>
      </c>
      <c r="C3" s="27" t="s">
        <v>9</v>
      </c>
      <c r="D3" s="28">
        <v>2</v>
      </c>
    </row>
    <row r="4" spans="1:6" ht="23.4" thickBot="1" x14ac:dyDescent="0.35">
      <c r="A4" s="25" t="s">
        <v>46</v>
      </c>
      <c r="B4" s="26" t="s">
        <v>47</v>
      </c>
      <c r="C4" s="27" t="s">
        <v>9</v>
      </c>
      <c r="D4" s="28">
        <v>2</v>
      </c>
    </row>
    <row r="5" spans="1:6" ht="15" thickBot="1" x14ac:dyDescent="0.35">
      <c r="A5" s="25" t="s">
        <v>48</v>
      </c>
      <c r="B5" s="26" t="s">
        <v>49</v>
      </c>
      <c r="C5" s="27" t="s">
        <v>9</v>
      </c>
      <c r="D5" s="28">
        <v>1</v>
      </c>
    </row>
    <row r="6" spans="1:6" ht="15" thickBot="1" x14ac:dyDescent="0.35">
      <c r="A6" s="25" t="s">
        <v>50</v>
      </c>
      <c r="B6" s="26" t="s">
        <v>51</v>
      </c>
      <c r="C6" s="27" t="s">
        <v>9</v>
      </c>
      <c r="D6" s="28">
        <v>1</v>
      </c>
    </row>
    <row r="7" spans="1:6" ht="15" thickBot="1" x14ac:dyDescent="0.35">
      <c r="A7" s="25" t="s">
        <v>52</v>
      </c>
      <c r="B7" s="26" t="s">
        <v>53</v>
      </c>
      <c r="C7" s="27" t="s">
        <v>9</v>
      </c>
      <c r="D7" s="28">
        <v>1</v>
      </c>
    </row>
    <row r="8" spans="1:6" ht="23.4" thickBot="1" x14ac:dyDescent="0.35">
      <c r="A8" s="25" t="s">
        <v>54</v>
      </c>
      <c r="B8" s="26" t="s">
        <v>55</v>
      </c>
      <c r="C8" s="27" t="s">
        <v>9</v>
      </c>
      <c r="D8" s="28">
        <v>2</v>
      </c>
    </row>
    <row r="9" spans="1:6" ht="15" thickBot="1" x14ac:dyDescent="0.35">
      <c r="A9" s="25" t="s">
        <v>56</v>
      </c>
      <c r="B9" s="26" t="s">
        <v>57</v>
      </c>
      <c r="C9" s="27" t="s">
        <v>9</v>
      </c>
      <c r="D9" s="28">
        <v>2</v>
      </c>
    </row>
    <row r="10" spans="1:6" ht="23.4" thickBot="1" x14ac:dyDescent="0.35">
      <c r="A10" s="25" t="s">
        <v>58</v>
      </c>
      <c r="B10" s="26" t="s">
        <v>59</v>
      </c>
      <c r="C10" s="27" t="s">
        <v>9</v>
      </c>
      <c r="D10" s="28">
        <v>1</v>
      </c>
    </row>
    <row r="11" spans="1:6" ht="15" thickBot="1" x14ac:dyDescent="0.35">
      <c r="A11" s="25" t="s">
        <v>60</v>
      </c>
      <c r="B11" s="26" t="s">
        <v>61</v>
      </c>
      <c r="C11" s="27" t="s">
        <v>9</v>
      </c>
      <c r="D11" s="28">
        <v>3</v>
      </c>
    </row>
    <row r="12" spans="1:6" ht="15" thickBot="1" x14ac:dyDescent="0.35">
      <c r="A12" s="25" t="s">
        <v>62</v>
      </c>
      <c r="B12" s="26" t="s">
        <v>63</v>
      </c>
      <c r="C12" s="27" t="s">
        <v>11</v>
      </c>
      <c r="D12" s="28">
        <v>3</v>
      </c>
    </row>
    <row r="13" spans="1:6" ht="15" thickBot="1" x14ac:dyDescent="0.35">
      <c r="A13" s="25" t="s">
        <v>64</v>
      </c>
      <c r="B13" s="26" t="s">
        <v>65</v>
      </c>
      <c r="C13" s="27" t="s">
        <v>9</v>
      </c>
      <c r="D13" s="28">
        <v>3</v>
      </c>
    </row>
    <row r="14" spans="1:6" ht="15" thickBot="1" x14ac:dyDescent="0.35">
      <c r="A14" s="25" t="s">
        <v>66</v>
      </c>
      <c r="B14" s="26" t="s">
        <v>67</v>
      </c>
      <c r="C14" s="27" t="s">
        <v>9</v>
      </c>
      <c r="D14" s="28">
        <v>3</v>
      </c>
    </row>
    <row r="15" spans="1:6" ht="15" thickBot="1" x14ac:dyDescent="0.35">
      <c r="A15" s="25" t="s">
        <v>68</v>
      </c>
      <c r="B15" s="26" t="s">
        <v>69</v>
      </c>
      <c r="C15" s="27" t="s">
        <v>9</v>
      </c>
      <c r="D15" s="28">
        <v>5</v>
      </c>
    </row>
    <row r="16" spans="1:6" ht="15" thickBot="1" x14ac:dyDescent="0.35">
      <c r="A16" s="25" t="s">
        <v>70</v>
      </c>
      <c r="B16" s="26" t="s">
        <v>71</v>
      </c>
      <c r="C16" s="27" t="s">
        <v>9</v>
      </c>
      <c r="D16" s="28">
        <v>1</v>
      </c>
    </row>
    <row r="17" spans="1:4" ht="15" thickBot="1" x14ac:dyDescent="0.35">
      <c r="A17" s="25" t="s">
        <v>72</v>
      </c>
      <c r="B17" s="26" t="s">
        <v>73</v>
      </c>
      <c r="C17" s="27" t="s">
        <v>9</v>
      </c>
      <c r="D17" s="28">
        <v>1</v>
      </c>
    </row>
    <row r="18" spans="1:4" ht="15" thickBot="1" x14ac:dyDescent="0.35">
      <c r="A18" s="25" t="s">
        <v>74</v>
      </c>
      <c r="B18" s="26" t="s">
        <v>75</v>
      </c>
      <c r="C18" s="27" t="s">
        <v>9</v>
      </c>
      <c r="D18" s="28">
        <v>2</v>
      </c>
    </row>
    <row r="19" spans="1:4" ht="15" thickBot="1" x14ac:dyDescent="0.35">
      <c r="A19" s="25" t="s">
        <v>76</v>
      </c>
      <c r="B19" s="26" t="s">
        <v>77</v>
      </c>
      <c r="C19" s="27" t="s">
        <v>9</v>
      </c>
      <c r="D19" s="28">
        <v>1</v>
      </c>
    </row>
    <row r="20" spans="1:4" ht="15" thickBot="1" x14ac:dyDescent="0.35">
      <c r="A20" s="25" t="s">
        <v>78</v>
      </c>
      <c r="B20" s="26" t="s">
        <v>79</v>
      </c>
      <c r="C20" s="27" t="s">
        <v>9</v>
      </c>
      <c r="D20" s="28">
        <v>1</v>
      </c>
    </row>
    <row r="21" spans="1:4" ht="15" thickBot="1" x14ac:dyDescent="0.35">
      <c r="A21" s="25" t="s">
        <v>80</v>
      </c>
      <c r="B21" s="26" t="s">
        <v>81</v>
      </c>
      <c r="C21" s="27" t="s">
        <v>9</v>
      </c>
      <c r="D21" s="28">
        <v>2</v>
      </c>
    </row>
    <row r="22" spans="1:4" ht="15" thickBot="1" x14ac:dyDescent="0.35">
      <c r="A22" s="25" t="s">
        <v>82</v>
      </c>
      <c r="B22" s="26" t="s">
        <v>83</v>
      </c>
      <c r="C22" s="27" t="s">
        <v>9</v>
      </c>
      <c r="D22" s="28">
        <v>1</v>
      </c>
    </row>
    <row r="23" spans="1:4" ht="15" thickBot="1" x14ac:dyDescent="0.35">
      <c r="A23" s="25" t="s">
        <v>84</v>
      </c>
      <c r="B23" s="26" t="s">
        <v>85</v>
      </c>
      <c r="C23" s="27" t="s">
        <v>11</v>
      </c>
      <c r="D23" s="28">
        <v>0.5</v>
      </c>
    </row>
    <row r="24" spans="1:4" ht="15" thickBot="1" x14ac:dyDescent="0.35">
      <c r="A24" s="2"/>
      <c r="B24" s="2"/>
      <c r="C24" s="2"/>
      <c r="D24" s="3"/>
    </row>
    <row r="25" spans="1:4" ht="15" thickBot="1" x14ac:dyDescent="0.35">
      <c r="A25" s="23" t="s">
        <v>2</v>
      </c>
      <c r="B25" s="23" t="s">
        <v>3</v>
      </c>
      <c r="C25" s="23" t="s">
        <v>4</v>
      </c>
      <c r="D25" s="24" t="s">
        <v>40</v>
      </c>
    </row>
    <row r="26" spans="1:4" ht="15" thickBot="1" x14ac:dyDescent="0.35">
      <c r="A26" s="25" t="s">
        <v>86</v>
      </c>
      <c r="B26" s="26" t="s">
        <v>87</v>
      </c>
      <c r="C26" s="27" t="s">
        <v>9</v>
      </c>
      <c r="D26" s="28">
        <v>3</v>
      </c>
    </row>
    <row r="27" spans="1:4" ht="15" thickBot="1" x14ac:dyDescent="0.35">
      <c r="A27" s="25" t="s">
        <v>88</v>
      </c>
      <c r="B27" s="26" t="s">
        <v>89</v>
      </c>
      <c r="C27" s="27" t="s">
        <v>9</v>
      </c>
      <c r="D27" s="28">
        <v>3</v>
      </c>
    </row>
    <row r="28" spans="1:4" ht="15" thickBot="1" x14ac:dyDescent="0.35">
      <c r="A28" s="25" t="s">
        <v>90</v>
      </c>
      <c r="B28" s="26" t="s">
        <v>91</v>
      </c>
      <c r="C28" s="27" t="s">
        <v>9</v>
      </c>
      <c r="D28" s="28">
        <v>3</v>
      </c>
    </row>
  </sheetData>
  <hyperlinks>
    <hyperlink ref="A26" r:id="rId1" display="https://maritzcx.atlassian.net/browse/BD-35531"/>
    <hyperlink ref="A27" r:id="rId2" display="https://maritzcx.atlassian.net/browse/BD-35532"/>
    <hyperlink ref="A28" r:id="rId3" display="https://maritzcx.atlassian.net/browse/BD-355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Sheet1</vt:lpstr>
      <vt:lpstr>Sheet2</vt:lpstr>
      <vt:lpstr>Dashboard</vt:lpstr>
      <vt:lpstr>Report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2019-01-28T15:12:35Z</dcterms:modified>
</cp:coreProperties>
</file>