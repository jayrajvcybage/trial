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@MaritzCX\@Defender\Defender Sprint 25\"/>
    </mc:Choice>
  </mc:AlternateContent>
  <bookViews>
    <workbookView xWindow="0" yWindow="0" windowWidth="22968" windowHeight="8064" activeTab="3"/>
  </bookViews>
  <sheets>
    <sheet name="Instructions" sheetId="9" r:id="rId1"/>
    <sheet name="Sheet1" sheetId="5" r:id="rId2"/>
    <sheet name="Sheet2" sheetId="12" r:id="rId3"/>
    <sheet name="Dashboard" sheetId="6" r:id="rId4"/>
    <sheet name="Report" sheetId="11" r:id="rId5"/>
    <sheet name="Notes" sheetId="13" r:id="rId6"/>
  </sheets>
  <functionGroups builtInGroupCount="18"/>
  <definedNames>
    <definedName name="_xlnm._FilterDatabase" localSheetId="1" hidden="1">Sheet1!$A$3:$H$29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6" l="1"/>
  <c r="C2" i="6" l="1"/>
</calcChain>
</file>

<file path=xl/comments1.xml><?xml version="1.0" encoding="utf-8"?>
<comments xmlns="http://schemas.openxmlformats.org/spreadsheetml/2006/main">
  <authors>
    <author>Jayraj Vahadane</author>
  </authors>
  <commentList>
    <comment ref="D12" authorId="0" shapeId="0">
      <text>
        <r>
          <rPr>
            <b/>
            <sz val="9"/>
            <color indexed="81"/>
            <rFont val="Tahoma"/>
            <family val="2"/>
          </rPr>
          <t>Jayraj Vahadane:</t>
        </r>
        <r>
          <rPr>
            <sz val="9"/>
            <color indexed="81"/>
            <rFont val="Tahoma"/>
            <family val="2"/>
          </rPr>
          <t xml:space="preserve">
Only Stories, no bugs/tech debt/tasks</t>
        </r>
      </text>
    </comment>
  </commentList>
</comments>
</file>

<file path=xl/sharedStrings.xml><?xml version="1.0" encoding="utf-8"?>
<sst xmlns="http://schemas.openxmlformats.org/spreadsheetml/2006/main" count="371" uniqueCount="210">
  <si>
    <t>Completed Issues</t>
  </si>
  <si>
    <t>View in Issue Navigator</t>
  </si>
  <si>
    <t>Key</t>
  </si>
  <si>
    <t>Summary</t>
  </si>
  <si>
    <t>Issue Type</t>
  </si>
  <si>
    <t>Priority</t>
  </si>
  <si>
    <t>Status</t>
  </si>
  <si>
    <t>Bug</t>
  </si>
  <si>
    <t>ACCEPTED</t>
  </si>
  <si>
    <t>Story</t>
  </si>
  <si>
    <t>None</t>
  </si>
  <si>
    <t>Task</t>
  </si>
  <si>
    <t>DONE</t>
  </si>
  <si>
    <t>Technical Debt</t>
  </si>
  <si>
    <t>Total Completed</t>
  </si>
  <si>
    <t>Total Incomplete</t>
  </si>
  <si>
    <t>Total Committed</t>
  </si>
  <si>
    <t>Committed Completed</t>
  </si>
  <si>
    <t>Committed</t>
  </si>
  <si>
    <t>Acceptance Rate</t>
  </si>
  <si>
    <t>Completion Rate</t>
  </si>
  <si>
    <t>Delivered Value</t>
  </si>
  <si>
    <t>Bugs Fixed</t>
  </si>
  <si>
    <t>Note:</t>
  </si>
  <si>
    <t>Instruction</t>
  </si>
  <si>
    <t>Sheet1 is having Tempest Tribe's sprint report copied from JIRA, please make sure that you are copying your own Tribe's report from JIRA according to  sample report provided on Sheet1.</t>
  </si>
  <si>
    <t>Select content on Sheet1 and delete everything</t>
  </si>
  <si>
    <t>Paste your report content on Sheet1, from LeftMost- Topmost cell (1,1)</t>
  </si>
  <si>
    <t>Now, most importantly, there is one irritating special char on the Story Points Column, i.e. → </t>
  </si>
  <si>
    <t>Go to any of the cell which contains → , select this char and keep selecting till next number, do not select this number. Just make sure that next spaces are getting selected(From  →  till next number. Copy this content.</t>
  </si>
  <si>
    <t xml:space="preserve">Do a Replace All, paste your selected content in Find What and Replace it with  #. </t>
  </si>
  <si>
    <t>It should populate all the content apporpriately.</t>
  </si>
  <si>
    <t>DO NOT CHANGE NAME OF ANY OF THE SHEETS</t>
  </si>
  <si>
    <t>Sequence</t>
  </si>
  <si>
    <t>Go to Dashboard and press Hit Me button</t>
  </si>
  <si>
    <t>Added after sprint planning</t>
  </si>
  <si>
    <t>Total added after sprint planning</t>
  </si>
  <si>
    <t>Delivered Value in Points</t>
  </si>
  <si>
    <t>Bug Fixed in Points</t>
  </si>
  <si>
    <t>Final Completed</t>
  </si>
  <si>
    <t>Story Points</t>
  </si>
  <si>
    <t>Stories</t>
  </si>
  <si>
    <t>BD-37207</t>
  </si>
  <si>
    <t>FCA - 2019 Setup the 2019 Sample/Scoring/Reporting Periods</t>
  </si>
  <si>
    <t>BD-37213</t>
  </si>
  <si>
    <t>FCA - 2019 Launch - Generate Month Ending Index Scoring Procedure for Entities</t>
  </si>
  <si>
    <t>BD-37214</t>
  </si>
  <si>
    <t>FCA - 2019 Generate Month Ending Index Scoring Procedure for Employees</t>
  </si>
  <si>
    <t>BD-37216</t>
  </si>
  <si>
    <t>FCA - 2019 - Remove Terminated Dealer Scoring</t>
  </si>
  <si>
    <t>BD-37218</t>
  </si>
  <si>
    <t>FCA - 2019 : Remove Dealer Ranking routine from Scoring</t>
  </si>
  <si>
    <t>BD-37219</t>
  </si>
  <si>
    <t>FCA - 2019 - Remove New Dealer Goals sproc from Scoring</t>
  </si>
  <si>
    <t>BD-37220</t>
  </si>
  <si>
    <t>FCA - 2019 - Modify Hierarchy Generation Sprocs to include Terminated Dealers</t>
  </si>
  <si>
    <t>BD-38157</t>
  </si>
  <si>
    <t>FCA 2019 - Pause Follow-up Surveys (CLP) during the FREEZE</t>
  </si>
  <si>
    <t>BD-38632</t>
  </si>
  <si>
    <t>FCA - Determination of Hierarchy should be based upon the lkuDealerMasterFranchise table</t>
  </si>
  <si>
    <t>BD-38928</t>
  </si>
  <si>
    <t>FCA 2019 - Updates needed to Month-End Scoring</t>
  </si>
  <si>
    <t>BD-39481</t>
  </si>
  <si>
    <t>FCA 2019 - Database Deployments - Lookup Tables</t>
  </si>
  <si>
    <t>BD-39485</t>
  </si>
  <si>
    <t>FCA 2019 - Web Refinements - DASHBOARD</t>
  </si>
  <si>
    <t>BD-39486</t>
  </si>
  <si>
    <t>FCA - Custom Site Framework - PERFORMANCE IMPACT</t>
  </si>
  <si>
    <t>BD-39487</t>
  </si>
  <si>
    <t>FCA - Custom Site Framework - EMPLOYEE MANAGEMENT</t>
  </si>
  <si>
    <t>BD-39840</t>
  </si>
  <si>
    <t>FCA- Add Craig Kutcher to News Admin Access</t>
  </si>
  <si>
    <t>BD-39841</t>
  </si>
  <si>
    <t>FCA 2019 - Compute Survey-Level Index (Alfa)</t>
  </si>
  <si>
    <t>BD-39980</t>
  </si>
  <si>
    <t>Update GetPendingCustomerHotAlerts and LoadFollowUpWrkTables</t>
  </si>
  <si>
    <t>BD-40200</t>
  </si>
  <si>
    <t>FCA 2019 - New sample field 'Preferred Language' storage</t>
  </si>
  <si>
    <t>BD-40201 *</t>
  </si>
  <si>
    <t>FCA 2019 - New sample field 'Delivery Date' storage</t>
  </si>
  <si>
    <t>BD-40273</t>
  </si>
  <si>
    <t>FCA - 2019 Replace Replication Jobs for Returns and MTD Scores</t>
  </si>
  <si>
    <t>BD-40274</t>
  </si>
  <si>
    <t>FCA - 2019 -- Alter Income Question Response Groups</t>
  </si>
  <si>
    <t>BD-40776 *</t>
  </si>
  <si>
    <t>FCA - Webscan on New Stage Environment</t>
  </si>
  <si>
    <t>BD-35531</t>
  </si>
  <si>
    <t>FCA - Create 2019 Daily &amp; Monthly CDJRF Horizontal VIN File</t>
  </si>
  <si>
    <t>BD-35532</t>
  </si>
  <si>
    <t>FCA - Create 2019 Daily &amp; Monthly Alfa Horizontal VIN File</t>
  </si>
  <si>
    <t>BD-35534</t>
  </si>
  <si>
    <t>FCA - Create 2019 Daily CDJRF Vertical VIN File</t>
  </si>
  <si>
    <t>Priority 2</t>
  </si>
  <si>
    <t>QA-Tribe Defender-2018-Regression</t>
  </si>
  <si>
    <t>Stage 2019-Web Scan : Insecure Transport: Weak SSL Protocol ( 11395 )</t>
  </si>
  <si>
    <t>FCA 2019 - Returns Regression Testing</t>
  </si>
  <si>
    <t>FCA - Issue with multi-select questions in Platform feed (90-Day Corporate)</t>
  </si>
  <si>
    <t>BD-42016 *</t>
  </si>
  <si>
    <t>FCA - Update VIN Detail Daily Horizontal - 40 Days</t>
  </si>
  <si>
    <t>BD-32792</t>
  </si>
  <si>
    <t>FCA-Base-Modify Invites and Exclusion Processing Email</t>
  </si>
  <si>
    <t>BD-35523</t>
  </si>
  <si>
    <t>FCA - Create CDJRF Base Sales Feed File to Platform</t>
  </si>
  <si>
    <t>BD-35524</t>
  </si>
  <si>
    <t>FCA - Create CDJRF Base Service Feed File to Platform</t>
  </si>
  <si>
    <t>BD-35525</t>
  </si>
  <si>
    <t>FCA - Create Alfa Base Service Feed File to Platform</t>
  </si>
  <si>
    <t>BD-35526</t>
  </si>
  <si>
    <t>FCA - Create Alfa Base Sales Feed File to Platform</t>
  </si>
  <si>
    <t>BD-35531 *</t>
  </si>
  <si>
    <t>BD-35532 *</t>
  </si>
  <si>
    <t>BD-35534 *</t>
  </si>
  <si>
    <t>BD-40774</t>
  </si>
  <si>
    <t>FCA 2019 - Daily Dealer Listing File to Platform - CDJR</t>
  </si>
  <si>
    <t>BD-40775</t>
  </si>
  <si>
    <t>FCA 2019 - Daily Dealer Listing File to Platform - Fiat</t>
  </si>
  <si>
    <t>BD-40946</t>
  </si>
  <si>
    <t>FCA-Base-Monthly Scoring and Off-Line Reports - December ---January 2, 2019</t>
  </si>
  <si>
    <t>BD-40986 *</t>
  </si>
  <si>
    <t>BD-41206</t>
  </si>
  <si>
    <t>FCA 2019 - Customer Management - Rejector Update (New Site)</t>
  </si>
  <si>
    <t>BD-41259 *</t>
  </si>
  <si>
    <t>BD-41357</t>
  </si>
  <si>
    <t>FCA2019- 'Print PDF' issues on Multiple pages.</t>
  </si>
  <si>
    <t>BD-41409 *</t>
  </si>
  <si>
    <t>BD-41425</t>
  </si>
  <si>
    <t>FCA -2019 Month-End Score Regression Testing</t>
  </si>
  <si>
    <t>BD-41625</t>
  </si>
  <si>
    <t>FCA 2019 - Daily Dealer Listing File to Platform - Alfa</t>
  </si>
  <si>
    <t>BD-41626</t>
  </si>
  <si>
    <t>FCA 2019 - Sprint Zero: Returns Process</t>
  </si>
  <si>
    <t>BD-42231 *</t>
  </si>
  <si>
    <t>BD-42473 *</t>
  </si>
  <si>
    <t>Replace old certificate with new certificate in stage environment.</t>
  </si>
  <si>
    <t>Story Point</t>
  </si>
  <si>
    <t>BD-31753</t>
  </si>
  <si>
    <t>Case IH-C006-Survey List Closed Status Hyperlink</t>
  </si>
  <si>
    <t>BD-31754</t>
  </si>
  <si>
    <t>Case IH-C006-Update Survey List Summary Report Survey Detail</t>
  </si>
  <si>
    <t>BD-33219</t>
  </si>
  <si>
    <t>NNA-E17153- Add Trend Charts to KPI Analyzer Report - FrontEnd</t>
  </si>
  <si>
    <t>BD-33220</t>
  </si>
  <si>
    <t>NNA-E17153- Convert Questions to hyperlinks</t>
  </si>
  <si>
    <t>CLIENT APPROVED</t>
  </si>
  <si>
    <t>BD-33223 *</t>
  </si>
  <si>
    <t>NNA-E17153-Add Best Practice PDFs to Doc and Training.</t>
  </si>
  <si>
    <t>READY FOR RELEASE</t>
  </si>
  <si>
    <t>BD-33481 *</t>
  </si>
  <si>
    <t>CaseIH - Alert closure summary - XML and CSV exports does not display correct Filter names</t>
  </si>
  <si>
    <t>Priority 3</t>
  </si>
  <si>
    <t>BD-33536</t>
  </si>
  <si>
    <t>NNA-17135-Launch October 15th</t>
  </si>
  <si>
    <t>BD-35049</t>
  </si>
  <si>
    <t>NNA-E17034-3b-Format PDF to fit full page</t>
  </si>
  <si>
    <t>BD-36577 *</t>
  </si>
  <si>
    <t>NNA - Sprint 0 - Matching employee records from T1/VA files</t>
  </si>
  <si>
    <t>BD-36692</t>
  </si>
  <si>
    <t>Case IH - Migrate to SQL 2012</t>
  </si>
  <si>
    <t>BD-37221</t>
  </si>
  <si>
    <t>Stored procedure Performance improvement</t>
  </si>
  <si>
    <t>BD-37243</t>
  </si>
  <si>
    <t>NNA - E18014 - Add new link to doc and training for Tampering letter</t>
  </si>
  <si>
    <t>CLOSED</t>
  </si>
  <si>
    <t>BD-37249</t>
  </si>
  <si>
    <t>NNA-Tech Debt-Create tool for GSS to run SSIS/Stored Procs</t>
  </si>
  <si>
    <t>BD-37288</t>
  </si>
  <si>
    <t>NNA-Bug-Investigate and Resolve INFO Tampering Type Cube Failures`</t>
  </si>
  <si>
    <t>Priority 1</t>
  </si>
  <si>
    <t>BD-37396</t>
  </si>
  <si>
    <t>NNA - Create monitoring for Email Capture job</t>
  </si>
  <si>
    <t>BD-37525</t>
  </si>
  <si>
    <t>Case IH-Bug-Dealer Unable to View Divisions</t>
  </si>
  <si>
    <t>BD-37594</t>
  </si>
  <si>
    <t>NNA - Database Backup Table Cleanup -- Part I (rename tables)</t>
  </si>
  <si>
    <t>BD-37640</t>
  </si>
  <si>
    <t>NNA-Bug-KPI OPP Analyzer Excel/PDF Date parameters</t>
  </si>
  <si>
    <t>BD-37854 *</t>
  </si>
  <si>
    <t>NNA-Bug-UAT BI File Changes</t>
  </si>
  <si>
    <t>BD-37856 *</t>
  </si>
  <si>
    <t>NNA-BUG - Email Capture Files - missing edits</t>
  </si>
  <si>
    <t>BD-38152 *</t>
  </si>
  <si>
    <t>NNA-Bug-Department filter sticking</t>
  </si>
  <si>
    <t>BD-38158 *</t>
  </si>
  <si>
    <t>NNA-BUG - Typo in the Requested Exports List for the word "Description"</t>
  </si>
  <si>
    <t>IN PRODUCTION</t>
  </si>
  <si>
    <t>BD-38335 *</t>
  </si>
  <si>
    <t>NNA-BUG - Exel Exports are not appearing in the requested exports list.</t>
  </si>
  <si>
    <t>BD-38336 *</t>
  </si>
  <si>
    <t>NNA -E18077- Deployment Oct 23rd</t>
  </si>
  <si>
    <t>BD-38373 *</t>
  </si>
  <si>
    <t>NNA-Deployment 10/24</t>
  </si>
  <si>
    <t>BD-38879 *</t>
  </si>
  <si>
    <t>NNA Production Deployment for BD-38158 NNA-BUG - Typo in the Requested Exports List for the word "Description"</t>
  </si>
  <si>
    <t>Issues Not Completed</t>
  </si>
  <si>
    <t>Story Points (9)</t>
  </si>
  <si>
    <t>BD-37247 *</t>
  </si>
  <si>
    <t>NNA-Tech Debt-Implement BizTalk returns processing on UAT</t>
  </si>
  <si>
    <t>IN PROGRESS</t>
  </si>
  <si>
    <t>BD-38345 *</t>
  </si>
  <si>
    <t>NNA-Sprint0 - Error Messages</t>
  </si>
  <si>
    <t>BD-38493 *</t>
  </si>
  <si>
    <t>NNA-BUG-Tampering letter Bcc not working again</t>
  </si>
  <si>
    <t>Issues Removed From Sprint</t>
  </si>
  <si>
    <t>Story Points (6)</t>
  </si>
  <si>
    <t>BD-36235</t>
  </si>
  <si>
    <t>NNA-Base- Setup sample processing on UAT (BizTalk and SSIS Packages)</t>
  </si>
  <si>
    <t>BD-36992</t>
  </si>
  <si>
    <t>NNA-E17034-3b-Change Benchmark Name to ALL CAPS</t>
  </si>
  <si>
    <t>Story Points (44 #46)</t>
  </si>
  <si>
    <t>- #2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</si>
</sst>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8"/>
      <color rgb="FF6C798F"/>
      <name val="Segoe UI"/>
      <family val="2"/>
    </font>
    <font>
      <sz val="8"/>
      <color rgb="FF333333"/>
      <name val="Segoe UI"/>
      <family val="2"/>
    </font>
    <font>
      <sz val="8"/>
      <color rgb="FF707070"/>
      <name val="Segoe U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333333"/>
      <name val="Arial"/>
      <family val="2"/>
    </font>
    <font>
      <sz val="14"/>
      <color rgb="FF7F7F7F"/>
      <name val="Arial"/>
      <family val="2"/>
    </font>
    <font>
      <sz val="14"/>
      <color rgb="FF000000"/>
      <name val="Yu Mincho"/>
      <family val="1"/>
    </font>
    <font>
      <sz val="7"/>
      <color rgb="FF0052CC"/>
      <name val="Segoe UI"/>
      <family val="2"/>
    </font>
    <font>
      <sz val="7"/>
      <color rgb="FF00875A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172B4D"/>
      <name val="Segoe UI"/>
      <family val="2"/>
    </font>
    <font>
      <sz val="7"/>
      <color rgb="FF00875A"/>
      <name val="Segoe UI"/>
      <family val="2"/>
    </font>
    <font>
      <sz val="7"/>
      <color rgb="FF0052CC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9">
    <xf numFmtId="0" fontId="0" fillId="0" borderId="0" xfId="0"/>
    <xf numFmtId="0" fontId="4" fillId="0" borderId="0" xfId="1" applyAlignment="1">
      <alignment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right" vertical="top"/>
    </xf>
    <xf numFmtId="0" fontId="4" fillId="2" borderId="0" xfId="1" applyFill="1" applyAlignment="1">
      <alignment horizontal="left" vertical="top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right" vertical="top"/>
    </xf>
    <xf numFmtId="0" fontId="3" fillId="2" borderId="0" xfId="0" applyFont="1" applyFill="1" applyAlignment="1">
      <alignment horizontal="right" vertical="top"/>
    </xf>
    <xf numFmtId="0" fontId="0" fillId="0" borderId="0" xfId="0" applyAlignment="1">
      <alignment vertical="top" wrapText="1"/>
    </xf>
    <xf numFmtId="0" fontId="6" fillId="0" borderId="6" xfId="0" applyFont="1" applyBorder="1" applyAlignment="1">
      <alignment vertical="top"/>
    </xf>
    <xf numFmtId="0" fontId="6" fillId="0" borderId="6" xfId="0" applyFont="1" applyBorder="1" applyAlignment="1">
      <alignment vertical="top" wrapText="1"/>
    </xf>
    <xf numFmtId="0" fontId="6" fillId="0" borderId="6" xfId="0" applyFont="1" applyBorder="1"/>
    <xf numFmtId="0" fontId="7" fillId="0" borderId="6" xfId="0" applyFont="1" applyBorder="1" applyAlignment="1">
      <alignment horizontal="center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9" fontId="10" fillId="0" borderId="5" xfId="0" applyNumberFormat="1" applyFont="1" applyBorder="1" applyAlignment="1">
      <alignment horizontal="center" vertical="center" wrapText="1"/>
    </xf>
    <xf numFmtId="0" fontId="6" fillId="0" borderId="0" xfId="0" applyFont="1"/>
    <xf numFmtId="0" fontId="5" fillId="0" borderId="6" xfId="0" applyFont="1" applyBorder="1"/>
    <xf numFmtId="0" fontId="12" fillId="2" borderId="0" xfId="0" applyFont="1" applyFill="1" applyAlignment="1">
      <alignment horizontal="left" vertical="top"/>
    </xf>
    <xf numFmtId="0" fontId="13" fillId="2" borderId="0" xfId="0" applyFont="1" applyFill="1" applyAlignment="1">
      <alignment horizontal="left" vertical="top"/>
    </xf>
    <xf numFmtId="0" fontId="5" fillId="0" borderId="0" xfId="0" applyFont="1" applyAlignment="1">
      <alignment horizont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/>
    </xf>
    <xf numFmtId="0" fontId="4" fillId="2" borderId="11" xfId="1" applyFill="1" applyBorder="1" applyAlignment="1">
      <alignment horizontal="left" vertical="top"/>
    </xf>
    <xf numFmtId="0" fontId="2" fillId="2" borderId="11" xfId="0" applyFont="1" applyFill="1" applyBorder="1" applyAlignment="1">
      <alignment horizontal="left" vertical="top" wrapText="1"/>
    </xf>
    <xf numFmtId="0" fontId="2" fillId="2" borderId="11" xfId="0" applyFont="1" applyFill="1" applyBorder="1" applyAlignment="1">
      <alignment horizontal="left" vertical="top"/>
    </xf>
    <xf numFmtId="0" fontId="2" fillId="2" borderId="11" xfId="0" applyFont="1" applyFill="1" applyBorder="1" applyAlignment="1">
      <alignment horizontal="right" vertical="top"/>
    </xf>
    <xf numFmtId="0" fontId="8" fillId="0" borderId="9" xfId="0" applyFont="1" applyBorder="1" applyAlignment="1">
      <alignment horizontal="center" vertical="top" wrapText="1"/>
    </xf>
    <xf numFmtId="0" fontId="8" fillId="0" borderId="10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left" vertical="top"/>
    </xf>
    <xf numFmtId="0" fontId="6" fillId="0" borderId="8" xfId="0" applyFont="1" applyBorder="1" applyAlignment="1">
      <alignment horizontal="left" vertical="top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0" fontId="17" fillId="2" borderId="0" xfId="0" applyFont="1" applyFill="1" applyAlignment="1">
      <alignment horizontal="left" vertical="top"/>
    </xf>
    <xf numFmtId="0" fontId="18" fillId="2" borderId="0" xfId="0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049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050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051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052" name="AutoShape 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2053" name="AutoShape 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054" name="AutoShape 6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055" name="AutoShape 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056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2057" name="AutoShape 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29</xdr:row>
      <xdr:rowOff>7620</xdr:rowOff>
    </xdr:to>
    <xdr:sp macro="" textlink="">
      <xdr:nvSpPr>
        <xdr:cNvPr id="2058" name="AutoShape 1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2059" name="AutoShape 1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29</xdr:row>
      <xdr:rowOff>7620</xdr:rowOff>
    </xdr:to>
    <xdr:sp macro="" textlink="">
      <xdr:nvSpPr>
        <xdr:cNvPr id="2060" name="AutoShape 1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2061" name="AutoShape 1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2062" name="AutoShape 1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29</xdr:row>
      <xdr:rowOff>7620</xdr:rowOff>
    </xdr:to>
    <xdr:sp macro="" textlink="">
      <xdr:nvSpPr>
        <xdr:cNvPr id="2063" name="AutoShape 15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64" name="AutoShape 1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2065" name="AutoShape 1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66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67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2068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69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2070" name="AutoShape 2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71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2072" name="AutoShape 2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2073" name="AutoShape 2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2074" name="AutoShape 2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073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074" name="AutoShape 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075" name="AutoShape 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076" name="AutoShape 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077" name="AutoShape 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078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079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080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081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082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083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084" name="AutoShape 1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085" name="AutoShape 1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086" name="AutoShape 1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087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088" name="AutoShape 1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089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090" name="AutoShape 1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091" name="AutoShape 19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092" name="AutoShape 2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093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094" name="AutoShape 2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095" name="AutoShape 23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096" name="AutoShape 2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097" name="AutoShape 2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098" name="AutoShape 2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02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099" name="AutoShape 2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7620</xdr:rowOff>
    </xdr:to>
    <xdr:sp macro="" textlink="">
      <xdr:nvSpPr>
        <xdr:cNvPr id="3100" name="AutoShape 2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10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7620</xdr:rowOff>
    </xdr:to>
    <xdr:sp macro="" textlink="">
      <xdr:nvSpPr>
        <xdr:cNvPr id="3101" name="AutoShape 29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040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7620</xdr:rowOff>
    </xdr:to>
    <xdr:sp macro="" textlink="">
      <xdr:nvSpPr>
        <xdr:cNvPr id="3102" name="AutoShape 3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304800</xdr:colOff>
      <xdr:row>38</xdr:row>
      <xdr:rowOff>7620</xdr:rowOff>
    </xdr:to>
    <xdr:sp macro="" textlink="">
      <xdr:nvSpPr>
        <xdr:cNvPr id="3103" name="AutoShape 3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0995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7620</xdr:rowOff>
    </xdr:to>
    <xdr:sp macro="" textlink="">
      <xdr:nvSpPr>
        <xdr:cNvPr id="3104" name="AutoShape 3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1292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304800</xdr:colOff>
      <xdr:row>39</xdr:row>
      <xdr:rowOff>7620</xdr:rowOff>
    </xdr:to>
    <xdr:sp macro="" textlink="">
      <xdr:nvSpPr>
        <xdr:cNvPr id="3105" name="AutoShape 33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11292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304800</xdr:colOff>
      <xdr:row>45</xdr:row>
      <xdr:rowOff>7620</xdr:rowOff>
    </xdr:to>
    <xdr:sp macro="" textlink="">
      <xdr:nvSpPr>
        <xdr:cNvPr id="3106" name="AutoShape 3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307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4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5" name="AutoShape 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6" name="AutoShape 5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7" name="AutoShape 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8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9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10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11" name="AutoShape 10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29</xdr:row>
      <xdr:rowOff>7620</xdr:rowOff>
    </xdr:to>
    <xdr:sp macro="" textlink="">
      <xdr:nvSpPr>
        <xdr:cNvPr id="12" name="AutoShape 11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13" name="AutoShape 1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14" name="AutoShape 1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29</xdr:row>
      <xdr:rowOff>7620</xdr:rowOff>
    </xdr:to>
    <xdr:sp macro="" textlink="">
      <xdr:nvSpPr>
        <xdr:cNvPr id="15" name="AutoShape 1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16" name="AutoShape 1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29</xdr:row>
      <xdr:rowOff>7620</xdr:rowOff>
    </xdr:to>
    <xdr:sp macro="" textlink="">
      <xdr:nvSpPr>
        <xdr:cNvPr id="17" name="AutoShape 16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18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19" name="AutoShape 18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" name="AutoShape 1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1" name="AutoShape 20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22" name="AutoShape 21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3" name="AutoShape 2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24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304800</xdr:colOff>
      <xdr:row>31</xdr:row>
      <xdr:rowOff>7620</xdr:rowOff>
    </xdr:to>
    <xdr:sp macro="" textlink="">
      <xdr:nvSpPr>
        <xdr:cNvPr id="25" name="AutoShape 24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26" name="AutoShape 2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304800</xdr:colOff>
      <xdr:row>32</xdr:row>
      <xdr:rowOff>7620</xdr:rowOff>
    </xdr:to>
    <xdr:sp macro="" textlink="">
      <xdr:nvSpPr>
        <xdr:cNvPr id="27" name="AutoShape 2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8" name="AutoShape 2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9" name="AutoShape 2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0" name="AutoShape 2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1" name="AutoShape 3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2" name="AutoShape 3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3" name="AutoShape 3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4" name="AutoShape 3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35" name="AutoShape 3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107" name="AutoShape 3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08" name="AutoShape 3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29</xdr:row>
      <xdr:rowOff>7620</xdr:rowOff>
    </xdr:to>
    <xdr:sp macro="" textlink="">
      <xdr:nvSpPr>
        <xdr:cNvPr id="3109" name="AutoShape 37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10" name="AutoShape 3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11" name="AutoShape 3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29</xdr:row>
      <xdr:rowOff>7620</xdr:rowOff>
    </xdr:to>
    <xdr:sp macro="" textlink="">
      <xdr:nvSpPr>
        <xdr:cNvPr id="3112" name="AutoShape 4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13" name="AutoShape 4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29</xdr:row>
      <xdr:rowOff>7620</xdr:rowOff>
    </xdr:to>
    <xdr:sp macro="" textlink="">
      <xdr:nvSpPr>
        <xdr:cNvPr id="3114" name="AutoShape 4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15" name="AutoShape 4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16" name="AutoShape 4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17" name="AutoShape 4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18" name="AutoShape 4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119" name="AutoShape 47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20" name="AutoShape 4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3121" name="AutoShape 4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304800</xdr:colOff>
      <xdr:row>31</xdr:row>
      <xdr:rowOff>7620</xdr:rowOff>
    </xdr:to>
    <xdr:sp macro="" textlink="">
      <xdr:nvSpPr>
        <xdr:cNvPr id="3122" name="AutoShape 50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3123" name="AutoShape 5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304800</xdr:colOff>
      <xdr:row>32</xdr:row>
      <xdr:rowOff>7620</xdr:rowOff>
    </xdr:to>
    <xdr:sp macro="" textlink="">
      <xdr:nvSpPr>
        <xdr:cNvPr id="3124" name="AutoShape 5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6" name="AutoShape 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7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8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9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40" name="AutoShape 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41" name="AutoShape 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42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43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44" name="AutoShape 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45" name="AutoShape 10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46" name="AutoShape 1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47" name="AutoShape 1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29</xdr:row>
      <xdr:rowOff>7620</xdr:rowOff>
    </xdr:to>
    <xdr:sp macro="" textlink="">
      <xdr:nvSpPr>
        <xdr:cNvPr id="48" name="AutoShape 13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49" name="AutoShape 1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50" name="AutoShape 1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51" name="AutoShape 1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52" name="AutoShape 1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53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54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55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56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57" name="AutoShape 2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58" name="AutoShape 23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59" name="AutoShape 2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60" name="AutoShape 2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61" name="AutoShape 26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62" name="AutoShape 2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02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63" name="AutoShape 2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48" name="AutoShape 2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2075" name="AutoShape 3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7620</xdr:rowOff>
    </xdr:to>
    <xdr:sp macro="" textlink="">
      <xdr:nvSpPr>
        <xdr:cNvPr id="2076" name="AutoShape 3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40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7620</xdr:rowOff>
    </xdr:to>
    <xdr:sp macro="" textlink="">
      <xdr:nvSpPr>
        <xdr:cNvPr id="2077" name="AutoShape 3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304800</xdr:colOff>
      <xdr:row>37</xdr:row>
      <xdr:rowOff>7620</xdr:rowOff>
    </xdr:to>
    <xdr:sp macro="" textlink="">
      <xdr:nvSpPr>
        <xdr:cNvPr id="2078" name="AutoShape 33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079" name="AutoShape 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080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081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082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2083" name="AutoShape 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084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085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086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2087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2088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2089" name="AutoShape 1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2090" name="AutoShape 1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91" name="AutoShape 1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92" name="AutoShape 1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93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94" name="AutoShape 1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95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96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97" name="AutoShape 1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98" name="AutoShape 2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99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100" name="AutoShape 2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2101" name="AutoShape 2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2102" name="AutoShape 2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7620</xdr:rowOff>
    </xdr:to>
    <xdr:sp macro="" textlink="">
      <xdr:nvSpPr>
        <xdr:cNvPr id="2103" name="AutoShape 2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509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104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105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106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107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2108" name="AutoShape 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2109" name="AutoShape 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110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2111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072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125" name="AutoShape 1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26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27" name="AutoShape 1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28" name="AutoShape 1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29</xdr:row>
      <xdr:rowOff>7620</xdr:rowOff>
    </xdr:to>
    <xdr:sp macro="" textlink="">
      <xdr:nvSpPr>
        <xdr:cNvPr id="3129" name="AutoShape 14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30" name="AutoShape 1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29</xdr:row>
      <xdr:rowOff>7620</xdr:rowOff>
    </xdr:to>
    <xdr:sp macro="" textlink="">
      <xdr:nvSpPr>
        <xdr:cNvPr id="3131" name="AutoShape 16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32" name="AutoShape 1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133" name="AutoShape 1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34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135" name="AutoShape 2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36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137" name="AutoShape 2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38" name="AutoShape 2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39" name="AutoShape 2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40" name="AutoShape 2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41" name="AutoShape 2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42" name="AutoShape 2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143" name="AutoShape 28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44" name="AutoShape 2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45" name="AutoShape 3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3146" name="AutoShape 3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3147" name="AutoShape 3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304800</xdr:colOff>
      <xdr:row>32</xdr:row>
      <xdr:rowOff>7620</xdr:rowOff>
    </xdr:to>
    <xdr:sp macro="" textlink="">
      <xdr:nvSpPr>
        <xdr:cNvPr id="3148" name="AutoShape 33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7620</xdr:rowOff>
    </xdr:to>
    <xdr:sp macro="" textlink="">
      <xdr:nvSpPr>
        <xdr:cNvPr id="3149" name="AutoShape 3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509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304800</xdr:colOff>
      <xdr:row>34</xdr:row>
      <xdr:rowOff>7620</xdr:rowOff>
    </xdr:to>
    <xdr:sp macro="" textlink="">
      <xdr:nvSpPr>
        <xdr:cNvPr id="3150" name="AutoShape 3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98069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304800</xdr:colOff>
      <xdr:row>34</xdr:row>
      <xdr:rowOff>7620</xdr:rowOff>
    </xdr:to>
    <xdr:sp macro="" textlink="">
      <xdr:nvSpPr>
        <xdr:cNvPr id="3151" name="AutoShape 3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98069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7620</xdr:rowOff>
    </xdr:to>
    <xdr:sp macro="" textlink="">
      <xdr:nvSpPr>
        <xdr:cNvPr id="3152" name="AutoShape 3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10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153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154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155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156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157" name="AutoShape 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158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159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160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61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62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63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64" name="AutoShape 1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29</xdr:row>
      <xdr:rowOff>7620</xdr:rowOff>
    </xdr:to>
    <xdr:sp macro="" textlink="">
      <xdr:nvSpPr>
        <xdr:cNvPr id="3165" name="AutoShape 13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66" name="AutoShape 1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67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68" name="AutoShape 1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169" name="AutoShape 1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70" name="AutoShape 1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171" name="AutoShape 19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72" name="AutoShape 20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73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74" name="AutoShape 2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75" name="AutoShape 2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76" name="AutoShape 2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77" name="AutoShape 2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178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179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180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181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182" name="AutoShape 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183" name="AutoShape 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3184" name="AutoShape 7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185" name="AutoShape 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186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87" name="AutoShape 1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88" name="AutoShape 1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89" name="AutoShape 1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90" name="AutoShape 1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91" name="AutoShape 1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92" name="AutoShape 1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193" name="AutoShape 16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94" name="AutoShape 17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95" name="AutoShape 1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196" name="AutoShape 19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97" name="AutoShape 2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98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199" name="AutoShape 2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200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201" name="AutoShape 24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202" name="AutoShape 2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203" name="AutoShape 2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204" name="AutoShape 2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205" name="AutoShape 2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206" name="AutoShape 2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207" name="AutoShape 3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208" name="AutoShape 3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3209" name="AutoShape 3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210" name="AutoShape 33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211" name="AutoShape 3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02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212" name="AutoShape 3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7620</xdr:rowOff>
    </xdr:to>
    <xdr:sp macro="" textlink="">
      <xdr:nvSpPr>
        <xdr:cNvPr id="3213" name="AutoShape 36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010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7620</xdr:rowOff>
    </xdr:to>
    <xdr:sp macro="" textlink="">
      <xdr:nvSpPr>
        <xdr:cNvPr id="3214" name="AutoShape 3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040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7620</xdr:rowOff>
    </xdr:to>
    <xdr:sp macro="" textlink="">
      <xdr:nvSpPr>
        <xdr:cNvPr id="3215" name="AutoShape 3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304800</xdr:colOff>
      <xdr:row>37</xdr:row>
      <xdr:rowOff>7620</xdr:rowOff>
    </xdr:to>
    <xdr:sp macro="" textlink="">
      <xdr:nvSpPr>
        <xdr:cNvPr id="3216" name="AutoShape 39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304800</xdr:colOff>
      <xdr:row>43</xdr:row>
      <xdr:rowOff>7620</xdr:rowOff>
    </xdr:to>
    <xdr:sp macro="" textlink="">
      <xdr:nvSpPr>
        <xdr:cNvPr id="3217" name="AutoShape 4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2481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</xdr:row>
      <xdr:rowOff>0</xdr:rowOff>
    </xdr:from>
    <xdr:to>
      <xdr:col>2</xdr:col>
      <xdr:colOff>304800</xdr:colOff>
      <xdr:row>44</xdr:row>
      <xdr:rowOff>7620</xdr:rowOff>
    </xdr:to>
    <xdr:sp macro="" textlink="">
      <xdr:nvSpPr>
        <xdr:cNvPr id="3218" name="AutoShape 4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277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17</xdr:row>
          <xdr:rowOff>91440</xdr:rowOff>
        </xdr:from>
        <xdr:to>
          <xdr:col>3</xdr:col>
          <xdr:colOff>739140</xdr:colOff>
          <xdr:row>19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Yu Mincho"/>
                  <a:ea typeface="Yu Mincho"/>
                </a:rPr>
                <a:t>Hit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itzcx.atlassian.net/browse/BD-37243" TargetMode="External"/><Relationship Id="rId18" Type="http://schemas.openxmlformats.org/officeDocument/2006/relationships/hyperlink" Target="https://maritzcx.atlassian.net/browse/BD-37594" TargetMode="External"/><Relationship Id="rId26" Type="http://schemas.openxmlformats.org/officeDocument/2006/relationships/hyperlink" Target="https://maritzcx.atlassian.net/browse/BD-38373" TargetMode="External"/><Relationship Id="rId3" Type="http://schemas.openxmlformats.org/officeDocument/2006/relationships/hyperlink" Target="https://maritzcx.atlassian.net/browse/BD-31754" TargetMode="External"/><Relationship Id="rId21" Type="http://schemas.openxmlformats.org/officeDocument/2006/relationships/hyperlink" Target="https://maritzcx.atlassian.net/browse/BD-37856" TargetMode="External"/><Relationship Id="rId34" Type="http://schemas.openxmlformats.org/officeDocument/2006/relationships/hyperlink" Target="https://maritzcx.atlassian.net/browse/BD-36992" TargetMode="External"/><Relationship Id="rId7" Type="http://schemas.openxmlformats.org/officeDocument/2006/relationships/hyperlink" Target="https://maritzcx.atlassian.net/browse/BD-33481" TargetMode="External"/><Relationship Id="rId12" Type="http://schemas.openxmlformats.org/officeDocument/2006/relationships/hyperlink" Target="https://maritzcx.atlassian.net/browse/BD-37221" TargetMode="External"/><Relationship Id="rId17" Type="http://schemas.openxmlformats.org/officeDocument/2006/relationships/hyperlink" Target="https://maritzcx.atlassian.net/browse/BD-37525" TargetMode="External"/><Relationship Id="rId25" Type="http://schemas.openxmlformats.org/officeDocument/2006/relationships/hyperlink" Target="https://maritzcx.atlassian.net/browse/BD-38336" TargetMode="External"/><Relationship Id="rId33" Type="http://schemas.openxmlformats.org/officeDocument/2006/relationships/hyperlink" Target="https://maritzcx.atlassian.net/browse/BD-36235" TargetMode="External"/><Relationship Id="rId2" Type="http://schemas.openxmlformats.org/officeDocument/2006/relationships/hyperlink" Target="https://maritzcx.atlassian.net/browse/BD-31753" TargetMode="External"/><Relationship Id="rId16" Type="http://schemas.openxmlformats.org/officeDocument/2006/relationships/hyperlink" Target="https://maritzcx.atlassian.net/browse/BD-37396" TargetMode="External"/><Relationship Id="rId20" Type="http://schemas.openxmlformats.org/officeDocument/2006/relationships/hyperlink" Target="https://maritzcx.atlassian.net/browse/BD-37854" TargetMode="External"/><Relationship Id="rId29" Type="http://schemas.openxmlformats.org/officeDocument/2006/relationships/hyperlink" Target="https://maritzcx.atlassian.net/browse/BD-37247" TargetMode="External"/><Relationship Id="rId1" Type="http://schemas.openxmlformats.org/officeDocument/2006/relationships/hyperlink" Target="https://maritzcx.atlassian.net/issues/?jql=issueKey%20in%20(BD-31753%2CBD-31754%2CBD-33219%2CBD-33220%2CBD-33223%2CBD-33481%2CBD-33536%2CBD-35049%2CBD-36577%2CBD-36692%2CBD-37221%2CBD-37243%2CBD-37249%2CBD-37288%2CBD-37396%2CBD-37525%2CBD-37594%2CBD-37640%2CBD-37854%2CBD-37856%2CBD-38152%2CBD-38158%2CBD-38335%2CBD-38336%2CBD-38373%2CBD-38879)" TargetMode="External"/><Relationship Id="rId6" Type="http://schemas.openxmlformats.org/officeDocument/2006/relationships/hyperlink" Target="https://maritzcx.atlassian.net/browse/BD-33223" TargetMode="External"/><Relationship Id="rId11" Type="http://schemas.openxmlformats.org/officeDocument/2006/relationships/hyperlink" Target="https://maritzcx.atlassian.net/browse/BD-36692" TargetMode="External"/><Relationship Id="rId24" Type="http://schemas.openxmlformats.org/officeDocument/2006/relationships/hyperlink" Target="https://maritzcx.atlassian.net/browse/BD-38335" TargetMode="External"/><Relationship Id="rId32" Type="http://schemas.openxmlformats.org/officeDocument/2006/relationships/hyperlink" Target="https://maritzcx.atlassian.net/issues/?jql=issueKey%20in%20(BD-36235%2CBD-36992)" TargetMode="External"/><Relationship Id="rId5" Type="http://schemas.openxmlformats.org/officeDocument/2006/relationships/hyperlink" Target="https://maritzcx.atlassian.net/browse/BD-33220" TargetMode="External"/><Relationship Id="rId15" Type="http://schemas.openxmlformats.org/officeDocument/2006/relationships/hyperlink" Target="https://maritzcx.atlassian.net/browse/BD-37288" TargetMode="External"/><Relationship Id="rId23" Type="http://schemas.openxmlformats.org/officeDocument/2006/relationships/hyperlink" Target="https://maritzcx.atlassian.net/browse/BD-38158" TargetMode="External"/><Relationship Id="rId28" Type="http://schemas.openxmlformats.org/officeDocument/2006/relationships/hyperlink" Target="https://maritzcx.atlassian.net/issues/?jql=issueKey%20in%20(BD-37247%2CBD-38345%2CBD-38493)" TargetMode="External"/><Relationship Id="rId10" Type="http://schemas.openxmlformats.org/officeDocument/2006/relationships/hyperlink" Target="https://maritzcx.atlassian.net/browse/BD-36577" TargetMode="External"/><Relationship Id="rId19" Type="http://schemas.openxmlformats.org/officeDocument/2006/relationships/hyperlink" Target="https://maritzcx.atlassian.net/browse/BD-37640" TargetMode="External"/><Relationship Id="rId31" Type="http://schemas.openxmlformats.org/officeDocument/2006/relationships/hyperlink" Target="https://maritzcx.atlassian.net/browse/BD-38493" TargetMode="External"/><Relationship Id="rId4" Type="http://schemas.openxmlformats.org/officeDocument/2006/relationships/hyperlink" Target="https://maritzcx.atlassian.net/browse/BD-33219" TargetMode="External"/><Relationship Id="rId9" Type="http://schemas.openxmlformats.org/officeDocument/2006/relationships/hyperlink" Target="https://maritzcx.atlassian.net/browse/BD-35049" TargetMode="External"/><Relationship Id="rId14" Type="http://schemas.openxmlformats.org/officeDocument/2006/relationships/hyperlink" Target="https://maritzcx.atlassian.net/browse/BD-37249" TargetMode="External"/><Relationship Id="rId22" Type="http://schemas.openxmlformats.org/officeDocument/2006/relationships/hyperlink" Target="https://maritzcx.atlassian.net/browse/BD-38152" TargetMode="External"/><Relationship Id="rId27" Type="http://schemas.openxmlformats.org/officeDocument/2006/relationships/hyperlink" Target="https://maritzcx.atlassian.net/browse/BD-38879" TargetMode="External"/><Relationship Id="rId30" Type="http://schemas.openxmlformats.org/officeDocument/2006/relationships/hyperlink" Target="https://maritzcx.atlassian.net/browse/BD-38345" TargetMode="External"/><Relationship Id="rId35" Type="http://schemas.openxmlformats.org/officeDocument/2006/relationships/drawing" Target="../drawings/drawing1.xml"/><Relationship Id="rId8" Type="http://schemas.openxmlformats.org/officeDocument/2006/relationships/hyperlink" Target="https://maritzcx.atlassian.net/browse/BD-33536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aritzcx.atlassian.net/browse/BD-35534" TargetMode="External"/><Relationship Id="rId13" Type="http://schemas.openxmlformats.org/officeDocument/2006/relationships/hyperlink" Target="https://maritzcx.atlassian.net/browse/BD-41206" TargetMode="External"/><Relationship Id="rId18" Type="http://schemas.openxmlformats.org/officeDocument/2006/relationships/hyperlink" Target="https://maritzcx.atlassian.net/browse/BD-41625" TargetMode="External"/><Relationship Id="rId3" Type="http://schemas.openxmlformats.org/officeDocument/2006/relationships/hyperlink" Target="https://maritzcx.atlassian.net/browse/BD-35524" TargetMode="External"/><Relationship Id="rId21" Type="http://schemas.openxmlformats.org/officeDocument/2006/relationships/hyperlink" Target="https://maritzcx.atlassian.net/browse/BD-42231" TargetMode="External"/><Relationship Id="rId7" Type="http://schemas.openxmlformats.org/officeDocument/2006/relationships/hyperlink" Target="https://maritzcx.atlassian.net/browse/BD-35532" TargetMode="External"/><Relationship Id="rId12" Type="http://schemas.openxmlformats.org/officeDocument/2006/relationships/hyperlink" Target="https://maritzcx.atlassian.net/browse/BD-40986" TargetMode="External"/><Relationship Id="rId17" Type="http://schemas.openxmlformats.org/officeDocument/2006/relationships/hyperlink" Target="https://maritzcx.atlassian.net/browse/BD-41425" TargetMode="External"/><Relationship Id="rId2" Type="http://schemas.openxmlformats.org/officeDocument/2006/relationships/hyperlink" Target="https://maritzcx.atlassian.net/browse/BD-35523" TargetMode="External"/><Relationship Id="rId16" Type="http://schemas.openxmlformats.org/officeDocument/2006/relationships/hyperlink" Target="https://maritzcx.atlassian.net/browse/BD-41409" TargetMode="External"/><Relationship Id="rId20" Type="http://schemas.openxmlformats.org/officeDocument/2006/relationships/hyperlink" Target="https://maritzcx.atlassian.net/browse/BD-42016" TargetMode="External"/><Relationship Id="rId1" Type="http://schemas.openxmlformats.org/officeDocument/2006/relationships/hyperlink" Target="https://maritzcx.atlassian.net/browse/BD-32792" TargetMode="External"/><Relationship Id="rId6" Type="http://schemas.openxmlformats.org/officeDocument/2006/relationships/hyperlink" Target="https://maritzcx.atlassian.net/browse/BD-35531" TargetMode="External"/><Relationship Id="rId11" Type="http://schemas.openxmlformats.org/officeDocument/2006/relationships/hyperlink" Target="https://maritzcx.atlassian.net/browse/BD-40946" TargetMode="External"/><Relationship Id="rId5" Type="http://schemas.openxmlformats.org/officeDocument/2006/relationships/hyperlink" Target="https://maritzcx.atlassian.net/browse/BD-35526" TargetMode="External"/><Relationship Id="rId15" Type="http://schemas.openxmlformats.org/officeDocument/2006/relationships/hyperlink" Target="https://maritzcx.atlassian.net/browse/BD-41357" TargetMode="External"/><Relationship Id="rId10" Type="http://schemas.openxmlformats.org/officeDocument/2006/relationships/hyperlink" Target="https://maritzcx.atlassian.net/browse/BD-40775" TargetMode="External"/><Relationship Id="rId19" Type="http://schemas.openxmlformats.org/officeDocument/2006/relationships/hyperlink" Target="https://maritzcx.atlassian.net/browse/BD-41626" TargetMode="External"/><Relationship Id="rId4" Type="http://schemas.openxmlformats.org/officeDocument/2006/relationships/hyperlink" Target="https://maritzcx.atlassian.net/browse/BD-35525" TargetMode="External"/><Relationship Id="rId9" Type="http://schemas.openxmlformats.org/officeDocument/2006/relationships/hyperlink" Target="https://maritzcx.atlassian.net/browse/BD-40774" TargetMode="External"/><Relationship Id="rId14" Type="http://schemas.openxmlformats.org/officeDocument/2006/relationships/hyperlink" Target="https://maritzcx.atlassian.net/browse/BD-41259" TargetMode="External"/><Relationship Id="rId22" Type="http://schemas.openxmlformats.org/officeDocument/2006/relationships/hyperlink" Target="https://maritzcx.atlassian.net/browse/BD-42473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maritzcx.atlassian.net/browse/BD-35534" TargetMode="External"/><Relationship Id="rId2" Type="http://schemas.openxmlformats.org/officeDocument/2006/relationships/hyperlink" Target="https://maritzcx.atlassian.net/browse/BD-35532" TargetMode="External"/><Relationship Id="rId1" Type="http://schemas.openxmlformats.org/officeDocument/2006/relationships/hyperlink" Target="https://maritzcx.atlassian.net/browse/BD-3553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workbookViewId="0">
      <selection activeCell="B8" sqref="B8"/>
    </sheetView>
  </sheetViews>
  <sheetFormatPr defaultRowHeight="14.4" x14ac:dyDescent="0.3"/>
  <cols>
    <col min="1" max="1" width="11.33203125" bestFit="1" customWidth="1"/>
    <col min="2" max="2" width="114.21875" customWidth="1"/>
  </cols>
  <sheetData>
    <row r="1" spans="1:2" ht="18" x14ac:dyDescent="0.35">
      <c r="A1" s="13" t="s">
        <v>33</v>
      </c>
      <c r="B1" s="13" t="s">
        <v>24</v>
      </c>
    </row>
    <row r="2" spans="1:2" ht="54" x14ac:dyDescent="0.3">
      <c r="A2" s="10">
        <v>1</v>
      </c>
      <c r="B2" s="11" t="s">
        <v>25</v>
      </c>
    </row>
    <row r="3" spans="1:2" ht="18" x14ac:dyDescent="0.3">
      <c r="A3" s="10">
        <v>2</v>
      </c>
      <c r="B3" s="11" t="s">
        <v>26</v>
      </c>
    </row>
    <row r="4" spans="1:2" ht="18" x14ac:dyDescent="0.35">
      <c r="A4" s="12">
        <v>3</v>
      </c>
      <c r="B4" s="12" t="s">
        <v>27</v>
      </c>
    </row>
    <row r="5" spans="1:2" ht="18" x14ac:dyDescent="0.35">
      <c r="A5" s="12">
        <v>4</v>
      </c>
      <c r="B5" s="12" t="s">
        <v>28</v>
      </c>
    </row>
    <row r="6" spans="1:2" ht="54" x14ac:dyDescent="0.3">
      <c r="A6" s="10">
        <v>5</v>
      </c>
      <c r="B6" s="11" t="s">
        <v>29</v>
      </c>
    </row>
    <row r="7" spans="1:2" ht="18" x14ac:dyDescent="0.3">
      <c r="A7" s="10">
        <v>6</v>
      </c>
      <c r="B7" s="11" t="s">
        <v>30</v>
      </c>
    </row>
    <row r="8" spans="1:2" ht="18" x14ac:dyDescent="0.3">
      <c r="A8" s="10">
        <v>7</v>
      </c>
      <c r="B8" s="11" t="s">
        <v>34</v>
      </c>
    </row>
    <row r="9" spans="1:2" ht="18" x14ac:dyDescent="0.3">
      <c r="A9" s="10">
        <v>8</v>
      </c>
      <c r="B9" s="11" t="s">
        <v>31</v>
      </c>
    </row>
    <row r="10" spans="1:2" ht="18" x14ac:dyDescent="0.3">
      <c r="A10" s="30" t="s">
        <v>32</v>
      </c>
      <c r="B10" s="31"/>
    </row>
  </sheetData>
  <mergeCells count="1">
    <mergeCell ref="A10:B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J45"/>
  <sheetViews>
    <sheetView topLeftCell="A15" workbookViewId="0">
      <selection activeCell="C44" sqref="C44"/>
    </sheetView>
  </sheetViews>
  <sheetFormatPr defaultColWidth="24.88671875" defaultRowHeight="23.4" customHeight="1" x14ac:dyDescent="0.3"/>
  <cols>
    <col min="6" max="6" width="15.6640625" bestFit="1" customWidth="1"/>
    <col min="7" max="7" width="14.21875" bestFit="1" customWidth="1"/>
    <col min="8" max="8" width="16" bestFit="1" customWidth="1"/>
    <col min="9" max="9" width="19.6640625" bestFit="1" customWidth="1"/>
  </cols>
  <sheetData>
    <row r="1" spans="1:10" ht="23.4" customHeight="1" x14ac:dyDescent="0.3">
      <c r="A1" s="36" t="s">
        <v>0</v>
      </c>
    </row>
    <row r="2" spans="1:10" ht="23.4" customHeight="1" thickBot="1" x14ac:dyDescent="0.35">
      <c r="A2" s="1" t="s">
        <v>1</v>
      </c>
    </row>
    <row r="3" spans="1:10" ht="23.4" customHeight="1" x14ac:dyDescent="0.3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3" t="s">
        <v>208</v>
      </c>
      <c r="G3" s="2" t="s">
        <v>39</v>
      </c>
      <c r="H3" s="3" t="s">
        <v>16</v>
      </c>
      <c r="I3" t="s">
        <v>17</v>
      </c>
      <c r="J3" t="s">
        <v>35</v>
      </c>
    </row>
    <row r="4" spans="1:10" ht="23.4" customHeight="1" x14ac:dyDescent="0.3">
      <c r="A4" s="4" t="s">
        <v>135</v>
      </c>
      <c r="B4" s="5" t="s">
        <v>136</v>
      </c>
      <c r="C4" s="6" t="s">
        <v>9</v>
      </c>
      <c r="D4" s="6" t="s">
        <v>10</v>
      </c>
      <c r="E4" s="37" t="s">
        <v>8</v>
      </c>
      <c r="F4" s="7">
        <v>1</v>
      </c>
      <c r="G4">
        <v>1</v>
      </c>
      <c r="H4">
        <v>1</v>
      </c>
      <c r="I4">
        <v>1</v>
      </c>
    </row>
    <row r="5" spans="1:10" ht="23.4" customHeight="1" x14ac:dyDescent="0.3">
      <c r="A5" s="4" t="s">
        <v>137</v>
      </c>
      <c r="B5" s="5" t="s">
        <v>138</v>
      </c>
      <c r="C5" s="6" t="s">
        <v>9</v>
      </c>
      <c r="D5" s="6" t="s">
        <v>10</v>
      </c>
      <c r="E5" s="37" t="s">
        <v>8</v>
      </c>
      <c r="F5" s="7">
        <v>2</v>
      </c>
      <c r="G5">
        <v>2</v>
      </c>
      <c r="H5">
        <v>2</v>
      </c>
      <c r="I5">
        <v>2</v>
      </c>
    </row>
    <row r="6" spans="1:10" ht="23.4" customHeight="1" x14ac:dyDescent="0.3">
      <c r="A6" s="4" t="s">
        <v>139</v>
      </c>
      <c r="B6" s="5" t="s">
        <v>140</v>
      </c>
      <c r="C6" s="6" t="s">
        <v>9</v>
      </c>
      <c r="D6" s="6" t="s">
        <v>10</v>
      </c>
      <c r="E6" s="37" t="s">
        <v>8</v>
      </c>
      <c r="F6" s="7">
        <v>3</v>
      </c>
      <c r="G6">
        <v>3</v>
      </c>
      <c r="H6">
        <v>3</v>
      </c>
      <c r="I6">
        <v>3</v>
      </c>
    </row>
    <row r="7" spans="1:10" ht="23.4" customHeight="1" x14ac:dyDescent="0.3">
      <c r="A7" s="4" t="s">
        <v>141</v>
      </c>
      <c r="B7" s="5" t="s">
        <v>142</v>
      </c>
      <c r="C7" s="6" t="s">
        <v>9</v>
      </c>
      <c r="D7" s="6" t="s">
        <v>10</v>
      </c>
      <c r="E7" s="37" t="s">
        <v>143</v>
      </c>
      <c r="F7" s="7">
        <v>3</v>
      </c>
      <c r="G7">
        <v>3</v>
      </c>
      <c r="H7">
        <v>3</v>
      </c>
      <c r="I7">
        <v>3</v>
      </c>
    </row>
    <row r="8" spans="1:10" ht="23.4" customHeight="1" x14ac:dyDescent="0.3">
      <c r="A8" s="4" t="s">
        <v>144</v>
      </c>
      <c r="B8" s="5" t="s">
        <v>145</v>
      </c>
      <c r="C8" s="6" t="s">
        <v>9</v>
      </c>
      <c r="D8" s="6" t="s">
        <v>10</v>
      </c>
      <c r="E8" s="37" t="s">
        <v>146</v>
      </c>
      <c r="F8" s="7">
        <v>1</v>
      </c>
      <c r="G8">
        <v>1</v>
      </c>
      <c r="J8">
        <v>1</v>
      </c>
    </row>
    <row r="9" spans="1:10" ht="23.4" hidden="1" customHeight="1" x14ac:dyDescent="0.3">
      <c r="A9" s="4" t="s">
        <v>147</v>
      </c>
      <c r="B9" s="5" t="s">
        <v>148</v>
      </c>
      <c r="C9" s="6" t="s">
        <v>7</v>
      </c>
      <c r="D9" s="6" t="s">
        <v>149</v>
      </c>
      <c r="E9" s="37" t="s">
        <v>146</v>
      </c>
      <c r="F9" s="7">
        <v>1</v>
      </c>
      <c r="G9">
        <v>1</v>
      </c>
      <c r="J9">
        <v>1</v>
      </c>
    </row>
    <row r="10" spans="1:10" ht="23.4" hidden="1" customHeight="1" x14ac:dyDescent="0.3">
      <c r="A10" s="4" t="s">
        <v>150</v>
      </c>
      <c r="B10" s="5" t="s">
        <v>151</v>
      </c>
      <c r="C10" s="6" t="s">
        <v>11</v>
      </c>
      <c r="D10" s="6" t="s">
        <v>10</v>
      </c>
      <c r="E10" s="37" t="s">
        <v>12</v>
      </c>
      <c r="F10" s="7">
        <v>2</v>
      </c>
      <c r="G10">
        <v>2</v>
      </c>
      <c r="H10">
        <v>2</v>
      </c>
      <c r="I10">
        <v>2</v>
      </c>
    </row>
    <row r="11" spans="1:10" ht="23.4" customHeight="1" x14ac:dyDescent="0.3">
      <c r="A11" s="4" t="s">
        <v>152</v>
      </c>
      <c r="B11" s="5" t="s">
        <v>153</v>
      </c>
      <c r="C11" s="6" t="s">
        <v>9</v>
      </c>
      <c r="D11" s="6" t="s">
        <v>10</v>
      </c>
      <c r="E11" s="37" t="s">
        <v>143</v>
      </c>
      <c r="F11" s="7">
        <v>2</v>
      </c>
      <c r="G11">
        <v>2</v>
      </c>
      <c r="H11">
        <v>2</v>
      </c>
      <c r="I11">
        <v>2</v>
      </c>
    </row>
    <row r="12" spans="1:10" ht="23.4" hidden="1" customHeight="1" x14ac:dyDescent="0.3">
      <c r="A12" s="4" t="s">
        <v>154</v>
      </c>
      <c r="B12" s="5" t="s">
        <v>155</v>
      </c>
      <c r="C12" s="6" t="s">
        <v>13</v>
      </c>
      <c r="D12" s="6" t="s">
        <v>10</v>
      </c>
      <c r="E12" s="37" t="s">
        <v>8</v>
      </c>
      <c r="F12" s="7">
        <v>5</v>
      </c>
      <c r="G12">
        <v>5</v>
      </c>
      <c r="J12">
        <v>5</v>
      </c>
    </row>
    <row r="13" spans="1:10" ht="23.4" hidden="1" customHeight="1" x14ac:dyDescent="0.3">
      <c r="A13" s="4" t="s">
        <v>156</v>
      </c>
      <c r="B13" s="5" t="s">
        <v>157</v>
      </c>
      <c r="C13" s="6" t="s">
        <v>13</v>
      </c>
      <c r="D13" s="6" t="s">
        <v>10</v>
      </c>
      <c r="E13" s="37" t="s">
        <v>8</v>
      </c>
      <c r="F13" s="7">
        <v>3</v>
      </c>
      <c r="G13">
        <v>3</v>
      </c>
      <c r="H13">
        <v>3</v>
      </c>
      <c r="I13">
        <v>3</v>
      </c>
    </row>
    <row r="14" spans="1:10" ht="23.4" hidden="1" customHeight="1" x14ac:dyDescent="0.3">
      <c r="A14" s="4" t="s">
        <v>158</v>
      </c>
      <c r="B14" s="5" t="s">
        <v>159</v>
      </c>
      <c r="C14" s="6" t="s">
        <v>13</v>
      </c>
      <c r="D14" s="6" t="s">
        <v>10</v>
      </c>
      <c r="E14" s="37" t="s">
        <v>8</v>
      </c>
      <c r="F14" s="7">
        <v>1</v>
      </c>
      <c r="G14">
        <v>1</v>
      </c>
      <c r="H14">
        <v>1</v>
      </c>
      <c r="I14">
        <v>1</v>
      </c>
    </row>
    <row r="15" spans="1:10" ht="23.4" customHeight="1" x14ac:dyDescent="0.3">
      <c r="A15" s="4" t="s">
        <v>160</v>
      </c>
      <c r="B15" s="5" t="s">
        <v>161</v>
      </c>
      <c r="C15" s="6" t="s">
        <v>9</v>
      </c>
      <c r="D15" s="6" t="s">
        <v>10</v>
      </c>
      <c r="E15" s="37" t="s">
        <v>162</v>
      </c>
      <c r="F15" s="7">
        <v>1</v>
      </c>
      <c r="G15">
        <v>1</v>
      </c>
      <c r="H15">
        <v>1</v>
      </c>
      <c r="I15">
        <v>1</v>
      </c>
    </row>
    <row r="16" spans="1:10" ht="23.4" hidden="1" customHeight="1" x14ac:dyDescent="0.3">
      <c r="A16" s="4" t="s">
        <v>163</v>
      </c>
      <c r="B16" s="5" t="s">
        <v>164</v>
      </c>
      <c r="C16" s="6" t="s">
        <v>13</v>
      </c>
      <c r="D16" s="6" t="s">
        <v>10</v>
      </c>
      <c r="E16" s="37" t="s">
        <v>8</v>
      </c>
      <c r="F16" s="7">
        <v>2</v>
      </c>
      <c r="G16">
        <v>2</v>
      </c>
      <c r="H16">
        <v>2</v>
      </c>
      <c r="I16">
        <v>2</v>
      </c>
    </row>
    <row r="17" spans="1:10" ht="23.4" hidden="1" customHeight="1" x14ac:dyDescent="0.3">
      <c r="A17" s="4" t="s">
        <v>165</v>
      </c>
      <c r="B17" s="5" t="s">
        <v>166</v>
      </c>
      <c r="C17" s="6" t="s">
        <v>7</v>
      </c>
      <c r="D17" s="6" t="s">
        <v>167</v>
      </c>
      <c r="E17" s="37" t="s">
        <v>8</v>
      </c>
      <c r="F17" s="7">
        <v>3</v>
      </c>
      <c r="G17">
        <v>3</v>
      </c>
      <c r="H17">
        <v>3</v>
      </c>
      <c r="I17">
        <v>3</v>
      </c>
    </row>
    <row r="18" spans="1:10" ht="23.4" hidden="1" customHeight="1" x14ac:dyDescent="0.3">
      <c r="A18" s="4" t="s">
        <v>168</v>
      </c>
      <c r="B18" s="5" t="s">
        <v>169</v>
      </c>
      <c r="C18" s="6" t="s">
        <v>13</v>
      </c>
      <c r="D18" s="6" t="s">
        <v>10</v>
      </c>
      <c r="E18" s="37" t="s">
        <v>8</v>
      </c>
      <c r="F18" s="7">
        <v>1</v>
      </c>
      <c r="G18">
        <v>1</v>
      </c>
      <c r="H18">
        <v>1</v>
      </c>
      <c r="I18">
        <v>1</v>
      </c>
    </row>
    <row r="19" spans="1:10" ht="23.4" hidden="1" customHeight="1" x14ac:dyDescent="0.3">
      <c r="A19" s="4" t="s">
        <v>170</v>
      </c>
      <c r="B19" s="5" t="s">
        <v>171</v>
      </c>
      <c r="C19" s="6" t="s">
        <v>7</v>
      </c>
      <c r="D19" s="6" t="s">
        <v>149</v>
      </c>
      <c r="E19" s="37" t="s">
        <v>146</v>
      </c>
      <c r="F19" s="7">
        <v>3</v>
      </c>
      <c r="G19">
        <v>3</v>
      </c>
      <c r="H19">
        <v>3</v>
      </c>
      <c r="I19">
        <v>3</v>
      </c>
    </row>
    <row r="20" spans="1:10" ht="23.4" hidden="1" customHeight="1" x14ac:dyDescent="0.3">
      <c r="A20" s="4" t="s">
        <v>172</v>
      </c>
      <c r="B20" s="5" t="s">
        <v>173</v>
      </c>
      <c r="C20" s="6" t="s">
        <v>13</v>
      </c>
      <c r="D20" s="6" t="s">
        <v>10</v>
      </c>
      <c r="E20" s="37" t="s">
        <v>8</v>
      </c>
      <c r="F20" s="7">
        <v>1</v>
      </c>
      <c r="G20">
        <v>1</v>
      </c>
      <c r="H20">
        <v>1</v>
      </c>
      <c r="I20">
        <v>1</v>
      </c>
    </row>
    <row r="21" spans="1:10" ht="23.4" hidden="1" customHeight="1" x14ac:dyDescent="0.3">
      <c r="A21" s="4" t="s">
        <v>174</v>
      </c>
      <c r="B21" s="5" t="s">
        <v>175</v>
      </c>
      <c r="C21" s="6" t="s">
        <v>7</v>
      </c>
      <c r="D21" s="6" t="s">
        <v>149</v>
      </c>
      <c r="E21" s="37" t="s">
        <v>146</v>
      </c>
      <c r="F21" s="7">
        <v>2</v>
      </c>
      <c r="G21">
        <v>2</v>
      </c>
      <c r="H21">
        <v>2</v>
      </c>
      <c r="I21">
        <v>2</v>
      </c>
    </row>
    <row r="22" spans="1:10" ht="23.4" hidden="1" customHeight="1" x14ac:dyDescent="0.3">
      <c r="A22" s="4" t="s">
        <v>176</v>
      </c>
      <c r="B22" s="5" t="s">
        <v>177</v>
      </c>
      <c r="C22" s="6" t="s">
        <v>7</v>
      </c>
      <c r="D22" s="6" t="s">
        <v>92</v>
      </c>
      <c r="E22" s="37" t="s">
        <v>162</v>
      </c>
      <c r="F22" s="8" t="s">
        <v>209</v>
      </c>
      <c r="G22">
        <v>2</v>
      </c>
      <c r="J22">
        <v>0</v>
      </c>
    </row>
    <row r="23" spans="1:10" ht="23.4" hidden="1" customHeight="1" x14ac:dyDescent="0.3">
      <c r="A23" s="4" t="s">
        <v>178</v>
      </c>
      <c r="B23" s="5" t="s">
        <v>179</v>
      </c>
      <c r="C23" s="6" t="s">
        <v>7</v>
      </c>
      <c r="D23" s="6" t="s">
        <v>92</v>
      </c>
      <c r="E23" s="37" t="s">
        <v>8</v>
      </c>
      <c r="F23" s="7">
        <v>1</v>
      </c>
      <c r="G23">
        <v>1</v>
      </c>
      <c r="J23">
        <v>1</v>
      </c>
    </row>
    <row r="24" spans="1:10" ht="23.4" hidden="1" customHeight="1" x14ac:dyDescent="0.3">
      <c r="A24" s="4" t="s">
        <v>180</v>
      </c>
      <c r="B24" s="5" t="s">
        <v>181</v>
      </c>
      <c r="C24" s="6" t="s">
        <v>7</v>
      </c>
      <c r="D24" s="6" t="s">
        <v>149</v>
      </c>
      <c r="E24" s="37" t="s">
        <v>146</v>
      </c>
      <c r="F24" s="7">
        <v>1</v>
      </c>
      <c r="G24">
        <v>1</v>
      </c>
      <c r="J24">
        <v>1</v>
      </c>
    </row>
    <row r="25" spans="1:10" ht="23.4" hidden="1" customHeight="1" x14ac:dyDescent="0.3">
      <c r="A25" s="4" t="s">
        <v>182</v>
      </c>
      <c r="B25" s="5" t="s">
        <v>183</v>
      </c>
      <c r="C25" s="6" t="s">
        <v>7</v>
      </c>
      <c r="D25" s="6" t="s">
        <v>149</v>
      </c>
      <c r="E25" s="37" t="s">
        <v>184</v>
      </c>
      <c r="F25" s="7">
        <v>1</v>
      </c>
      <c r="G25">
        <v>1</v>
      </c>
      <c r="J25">
        <v>1</v>
      </c>
    </row>
    <row r="26" spans="1:10" ht="23.4" hidden="1" customHeight="1" thickBot="1" x14ac:dyDescent="0.3">
      <c r="A26" s="4" t="s">
        <v>185</v>
      </c>
      <c r="B26" s="5" t="s">
        <v>186</v>
      </c>
      <c r="C26" s="6" t="s">
        <v>7</v>
      </c>
      <c r="D26" s="6" t="s">
        <v>92</v>
      </c>
      <c r="E26" s="37" t="s">
        <v>162</v>
      </c>
      <c r="F26" s="7">
        <v>1</v>
      </c>
      <c r="G26">
        <v>1</v>
      </c>
      <c r="J26">
        <v>1</v>
      </c>
    </row>
    <row r="27" spans="1:10" ht="23.4" hidden="1" customHeight="1" x14ac:dyDescent="0.3">
      <c r="A27" s="4" t="s">
        <v>187</v>
      </c>
      <c r="B27" s="5" t="s">
        <v>188</v>
      </c>
      <c r="C27" s="6" t="s">
        <v>11</v>
      </c>
      <c r="D27" s="6" t="s">
        <v>10</v>
      </c>
      <c r="E27" s="37" t="s">
        <v>12</v>
      </c>
      <c r="F27" s="7">
        <v>1</v>
      </c>
      <c r="G27" s="2">
        <v>1</v>
      </c>
      <c r="H27" s="3"/>
      <c r="J27">
        <v>1</v>
      </c>
    </row>
    <row r="28" spans="1:10" ht="23.4" hidden="1" customHeight="1" x14ac:dyDescent="0.3">
      <c r="A28" s="4" t="s">
        <v>189</v>
      </c>
      <c r="B28" s="5" t="s">
        <v>190</v>
      </c>
      <c r="C28" s="6" t="s">
        <v>11</v>
      </c>
      <c r="D28" s="6" t="s">
        <v>10</v>
      </c>
      <c r="E28" s="37" t="s">
        <v>12</v>
      </c>
      <c r="F28" s="7">
        <v>1</v>
      </c>
      <c r="G28" s="21">
        <v>1</v>
      </c>
      <c r="H28" s="7"/>
      <c r="J28">
        <v>1</v>
      </c>
    </row>
    <row r="29" spans="1:10" ht="23.4" hidden="1" customHeight="1" x14ac:dyDescent="0.3">
      <c r="A29" s="4" t="s">
        <v>191</v>
      </c>
      <c r="B29" s="5" t="s">
        <v>192</v>
      </c>
      <c r="C29" s="6" t="s">
        <v>11</v>
      </c>
      <c r="D29" s="6" t="s">
        <v>10</v>
      </c>
      <c r="E29" s="37" t="s">
        <v>12</v>
      </c>
      <c r="F29" s="7">
        <v>1</v>
      </c>
      <c r="G29">
        <v>1</v>
      </c>
      <c r="J29">
        <v>1</v>
      </c>
    </row>
    <row r="30" spans="1:10" ht="23.4" customHeight="1" x14ac:dyDescent="0.3">
      <c r="A30" s="9"/>
    </row>
    <row r="31" spans="1:10" ht="23.4" customHeight="1" x14ac:dyDescent="0.3">
      <c r="A31" s="9"/>
    </row>
    <row r="32" spans="1:10" ht="23.4" customHeight="1" x14ac:dyDescent="0.3">
      <c r="A32" s="36" t="s">
        <v>193</v>
      </c>
    </row>
    <row r="33" spans="1:10" ht="23.4" customHeight="1" thickBot="1" x14ac:dyDescent="0.35">
      <c r="A33" s="1" t="s">
        <v>1</v>
      </c>
    </row>
    <row r="34" spans="1:10" ht="23.4" customHeight="1" x14ac:dyDescent="0.3">
      <c r="A34" s="2" t="s">
        <v>2</v>
      </c>
      <c r="B34" s="2" t="s">
        <v>3</v>
      </c>
      <c r="C34" s="2" t="s">
        <v>4</v>
      </c>
      <c r="D34" s="2" t="s">
        <v>5</v>
      </c>
      <c r="E34" s="2" t="s">
        <v>6</v>
      </c>
      <c r="F34" s="3" t="s">
        <v>194</v>
      </c>
      <c r="H34" t="s">
        <v>15</v>
      </c>
    </row>
    <row r="35" spans="1:10" ht="23.4" customHeight="1" x14ac:dyDescent="0.3">
      <c r="A35" s="4" t="s">
        <v>195</v>
      </c>
      <c r="B35" s="5" t="s">
        <v>196</v>
      </c>
      <c r="C35" s="6" t="s">
        <v>13</v>
      </c>
      <c r="D35" s="6" t="s">
        <v>10</v>
      </c>
      <c r="E35" s="38" t="s">
        <v>197</v>
      </c>
      <c r="F35" s="7">
        <v>5</v>
      </c>
      <c r="H35">
        <v>5</v>
      </c>
      <c r="J35">
        <v>5</v>
      </c>
    </row>
    <row r="36" spans="1:10" ht="23.4" customHeight="1" x14ac:dyDescent="0.3">
      <c r="A36" s="4" t="s">
        <v>198</v>
      </c>
      <c r="B36" s="5" t="s">
        <v>199</v>
      </c>
      <c r="C36" s="6" t="s">
        <v>11</v>
      </c>
      <c r="D36" s="6" t="s">
        <v>10</v>
      </c>
      <c r="E36" s="38" t="s">
        <v>197</v>
      </c>
      <c r="F36" s="7">
        <v>2</v>
      </c>
      <c r="H36">
        <v>2</v>
      </c>
      <c r="J36">
        <v>2</v>
      </c>
    </row>
    <row r="37" spans="1:10" ht="23.4" customHeight="1" x14ac:dyDescent="0.3">
      <c r="A37" s="4" t="s">
        <v>200</v>
      </c>
      <c r="B37" s="5" t="s">
        <v>201</v>
      </c>
      <c r="C37" s="6" t="s">
        <v>7</v>
      </c>
      <c r="D37" s="6" t="s">
        <v>149</v>
      </c>
      <c r="E37" s="38" t="s">
        <v>197</v>
      </c>
      <c r="F37" s="7">
        <v>2</v>
      </c>
      <c r="H37">
        <v>2</v>
      </c>
      <c r="J37">
        <v>2</v>
      </c>
    </row>
    <row r="38" spans="1:10" ht="23.4" customHeight="1" x14ac:dyDescent="0.3">
      <c r="A38" s="9"/>
    </row>
    <row r="39" spans="1:10" ht="23.4" customHeight="1" x14ac:dyDescent="0.3">
      <c r="A39" s="9"/>
    </row>
    <row r="40" spans="1:10" ht="23.4" customHeight="1" x14ac:dyDescent="0.3">
      <c r="A40" s="36" t="s">
        <v>202</v>
      </c>
    </row>
    <row r="41" spans="1:10" ht="23.4" customHeight="1" thickBot="1" x14ac:dyDescent="0.35">
      <c r="A41" s="1" t="s">
        <v>1</v>
      </c>
    </row>
    <row r="42" spans="1:10" ht="23.4" customHeight="1" x14ac:dyDescent="0.3">
      <c r="A42" s="2" t="s">
        <v>2</v>
      </c>
      <c r="B42" s="2" t="s">
        <v>3</v>
      </c>
      <c r="C42" s="2" t="s">
        <v>4</v>
      </c>
      <c r="D42" s="2" t="s">
        <v>5</v>
      </c>
      <c r="E42" s="2" t="s">
        <v>6</v>
      </c>
      <c r="F42" s="3" t="s">
        <v>203</v>
      </c>
    </row>
    <row r="43" spans="1:10" ht="23.4" customHeight="1" x14ac:dyDescent="0.3">
      <c r="A43" s="4" t="s">
        <v>204</v>
      </c>
      <c r="B43" s="5" t="s">
        <v>205</v>
      </c>
      <c r="C43" s="6" t="s">
        <v>13</v>
      </c>
      <c r="D43" s="6" t="s">
        <v>10</v>
      </c>
      <c r="E43" s="38" t="s">
        <v>197</v>
      </c>
      <c r="F43" s="7">
        <v>5</v>
      </c>
      <c r="H43">
        <v>5</v>
      </c>
    </row>
    <row r="44" spans="1:10" ht="23.4" customHeight="1" x14ac:dyDescent="0.3">
      <c r="A44" s="4" t="s">
        <v>206</v>
      </c>
      <c r="B44" s="5" t="s">
        <v>207</v>
      </c>
      <c r="C44" s="6" t="s">
        <v>9</v>
      </c>
      <c r="D44" s="6" t="s">
        <v>10</v>
      </c>
      <c r="E44" s="38" t="s">
        <v>197</v>
      </c>
      <c r="F44" s="7">
        <v>1</v>
      </c>
      <c r="H44">
        <v>1</v>
      </c>
    </row>
    <row r="45" spans="1:10" ht="23.4" customHeight="1" x14ac:dyDescent="0.3">
      <c r="A45" s="4"/>
      <c r="B45" s="5"/>
      <c r="C45" s="6"/>
      <c r="D45" s="6"/>
      <c r="E45" s="22"/>
      <c r="F45" s="7"/>
    </row>
  </sheetData>
  <autoFilter ref="A3:H29">
    <filterColumn colId="2">
      <filters>
        <filter val="Story"/>
      </filters>
    </filterColumn>
  </autoFilter>
  <hyperlinks>
    <hyperlink ref="A2" r:id="rId1" display="https://maritzcx.atlassian.net/issues/?jql=issueKey%20in%20(BD-31753%2CBD-31754%2CBD-33219%2CBD-33220%2CBD-33223%2CBD-33481%2CBD-33536%2CBD-35049%2CBD-36577%2CBD-36692%2CBD-37221%2CBD-37243%2CBD-37249%2CBD-37288%2CBD-37396%2CBD-37525%2CBD-37594%2CBD-37640%2CBD-37854%2CBD-37856%2CBD-38152%2CBD-38158%2CBD-38335%2CBD-38336%2CBD-38373%2CBD-38879)"/>
    <hyperlink ref="A4" r:id="rId2" display="https://maritzcx.atlassian.net/browse/BD-31753"/>
    <hyperlink ref="A5" r:id="rId3" display="https://maritzcx.atlassian.net/browse/BD-31754"/>
    <hyperlink ref="A6" r:id="rId4" display="https://maritzcx.atlassian.net/browse/BD-33219"/>
    <hyperlink ref="A7" r:id="rId5" display="https://maritzcx.atlassian.net/browse/BD-33220"/>
    <hyperlink ref="A8" r:id="rId6" display="https://maritzcx.atlassian.net/browse/BD-33223"/>
    <hyperlink ref="A9" r:id="rId7" display="https://maritzcx.atlassian.net/browse/BD-33481"/>
    <hyperlink ref="A10" r:id="rId8" display="https://maritzcx.atlassian.net/browse/BD-33536"/>
    <hyperlink ref="A11" r:id="rId9" display="https://maritzcx.atlassian.net/browse/BD-35049"/>
    <hyperlink ref="A12" r:id="rId10" display="https://maritzcx.atlassian.net/browse/BD-36577"/>
    <hyperlink ref="A13" r:id="rId11" display="https://maritzcx.atlassian.net/browse/BD-36692"/>
    <hyperlink ref="A14" r:id="rId12" display="https://maritzcx.atlassian.net/browse/BD-37221"/>
    <hyperlink ref="A15" r:id="rId13" display="https://maritzcx.atlassian.net/browse/BD-37243"/>
    <hyperlink ref="A16" r:id="rId14" display="https://maritzcx.atlassian.net/browse/BD-37249"/>
    <hyperlink ref="A17" r:id="rId15" display="https://maritzcx.atlassian.net/browse/BD-37288"/>
    <hyperlink ref="A18" r:id="rId16" display="https://maritzcx.atlassian.net/browse/BD-37396"/>
    <hyperlink ref="A19" r:id="rId17" display="https://maritzcx.atlassian.net/browse/BD-37525"/>
    <hyperlink ref="A20" r:id="rId18" display="https://maritzcx.atlassian.net/browse/BD-37594"/>
    <hyperlink ref="A21" r:id="rId19" display="https://maritzcx.atlassian.net/browse/BD-37640"/>
    <hyperlink ref="A22" r:id="rId20" display="https://maritzcx.atlassian.net/browse/BD-37854"/>
    <hyperlink ref="A23" r:id="rId21" display="https://maritzcx.atlassian.net/browse/BD-37856"/>
    <hyperlink ref="A24" r:id="rId22" display="https://maritzcx.atlassian.net/browse/BD-38152"/>
    <hyperlink ref="A25" r:id="rId23" display="https://maritzcx.atlassian.net/browse/BD-38158"/>
    <hyperlink ref="A26" r:id="rId24" display="https://maritzcx.atlassian.net/browse/BD-38335"/>
    <hyperlink ref="A27" r:id="rId25" display="https://maritzcx.atlassian.net/browse/BD-38336"/>
    <hyperlink ref="A28" r:id="rId26" display="https://maritzcx.atlassian.net/browse/BD-38373"/>
    <hyperlink ref="A29" r:id="rId27" display="https://maritzcx.atlassian.net/browse/BD-38879"/>
    <hyperlink ref="A33" r:id="rId28" display="https://maritzcx.atlassian.net/issues/?jql=issueKey%20in%20(BD-37247%2CBD-38345%2CBD-38493)"/>
    <hyperlink ref="A35" r:id="rId29" display="https://maritzcx.atlassian.net/browse/BD-37247"/>
    <hyperlink ref="A36" r:id="rId30" display="https://maritzcx.atlassian.net/browse/BD-38345"/>
    <hyperlink ref="A37" r:id="rId31" display="https://maritzcx.atlassian.net/browse/BD-38493"/>
    <hyperlink ref="A41" r:id="rId32" display="https://maritzcx.atlassian.net/issues/?jql=issueKey%20in%20(BD-36235%2CBD-36992)"/>
    <hyperlink ref="A43" r:id="rId33" display="https://maritzcx.atlassian.net/browse/BD-36235"/>
    <hyperlink ref="A44" r:id="rId34" display="https://maritzcx.atlassian.net/browse/BD-36992"/>
  </hyperlinks>
  <pageMargins left="0.7" right="0.7" top="0.75" bottom="0.75" header="0.3" footer="0.3"/>
  <drawing r:id="rId3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8"/>
  <sheetViews>
    <sheetView workbookViewId="0">
      <selection activeCell="G17" sqref="G17"/>
    </sheetView>
  </sheetViews>
  <sheetFormatPr defaultColWidth="24.88671875" defaultRowHeight="14.4" x14ac:dyDescent="0.3"/>
  <cols>
    <col min="1" max="1" width="10.44140625" bestFit="1" customWidth="1"/>
    <col min="2" max="2" width="49.5546875" bestFit="1" customWidth="1"/>
    <col min="3" max="3" width="10.21875" bestFit="1" customWidth="1"/>
    <col min="4" max="4" width="10.77734375" customWidth="1"/>
    <col min="5" max="5" width="14.21875" bestFit="1" customWidth="1"/>
    <col min="6" max="6" width="16" bestFit="1" customWidth="1"/>
    <col min="7" max="7" width="19.6640625" bestFit="1" customWidth="1"/>
  </cols>
  <sheetData>
    <row r="1" spans="1:6" ht="15" thickBot="1" x14ac:dyDescent="0.35">
      <c r="A1" s="24" t="s">
        <v>2</v>
      </c>
      <c r="B1" s="24" t="s">
        <v>3</v>
      </c>
      <c r="C1" s="24" t="s">
        <v>4</v>
      </c>
      <c r="D1" s="25" t="s">
        <v>134</v>
      </c>
      <c r="E1" s="2"/>
      <c r="F1" s="3"/>
    </row>
    <row r="2" spans="1:6" ht="15" thickBot="1" x14ac:dyDescent="0.35">
      <c r="A2" s="26" t="s">
        <v>99</v>
      </c>
      <c r="B2" s="27" t="s">
        <v>100</v>
      </c>
      <c r="C2" s="28" t="s">
        <v>9</v>
      </c>
      <c r="D2" s="29">
        <v>1</v>
      </c>
    </row>
    <row r="3" spans="1:6" ht="15" thickBot="1" x14ac:dyDescent="0.35">
      <c r="A3" s="26" t="s">
        <v>101</v>
      </c>
      <c r="B3" s="27" t="s">
        <v>102</v>
      </c>
      <c r="C3" s="28" t="s">
        <v>9</v>
      </c>
      <c r="D3" s="29">
        <v>3</v>
      </c>
    </row>
    <row r="4" spans="1:6" ht="15" thickBot="1" x14ac:dyDescent="0.35">
      <c r="A4" s="26" t="s">
        <v>103</v>
      </c>
      <c r="B4" s="27" t="s">
        <v>104</v>
      </c>
      <c r="C4" s="28" t="s">
        <v>9</v>
      </c>
      <c r="D4" s="29">
        <v>3</v>
      </c>
    </row>
    <row r="5" spans="1:6" ht="15" thickBot="1" x14ac:dyDescent="0.35">
      <c r="A5" s="26" t="s">
        <v>105</v>
      </c>
      <c r="B5" s="27" t="s">
        <v>106</v>
      </c>
      <c r="C5" s="28" t="s">
        <v>9</v>
      </c>
      <c r="D5" s="29">
        <v>3</v>
      </c>
    </row>
    <row r="6" spans="1:6" ht="15" thickBot="1" x14ac:dyDescent="0.35">
      <c r="A6" s="26" t="s">
        <v>107</v>
      </c>
      <c r="B6" s="27" t="s">
        <v>108</v>
      </c>
      <c r="C6" s="28" t="s">
        <v>9</v>
      </c>
      <c r="D6" s="29">
        <v>3</v>
      </c>
    </row>
    <row r="7" spans="1:6" ht="15" thickBot="1" x14ac:dyDescent="0.35">
      <c r="A7" s="26" t="s">
        <v>109</v>
      </c>
      <c r="B7" s="27" t="s">
        <v>87</v>
      </c>
      <c r="C7" s="28" t="s">
        <v>9</v>
      </c>
      <c r="D7" s="29">
        <v>3</v>
      </c>
    </row>
    <row r="8" spans="1:6" ht="15" thickBot="1" x14ac:dyDescent="0.35">
      <c r="A8" s="26" t="s">
        <v>110</v>
      </c>
      <c r="B8" s="27" t="s">
        <v>89</v>
      </c>
      <c r="C8" s="28" t="s">
        <v>9</v>
      </c>
      <c r="D8" s="29">
        <v>3</v>
      </c>
    </row>
    <row r="9" spans="1:6" ht="15" thickBot="1" x14ac:dyDescent="0.35">
      <c r="A9" s="26" t="s">
        <v>111</v>
      </c>
      <c r="B9" s="27" t="s">
        <v>91</v>
      </c>
      <c r="C9" s="28" t="s">
        <v>9</v>
      </c>
      <c r="D9" s="29">
        <v>3</v>
      </c>
    </row>
    <row r="10" spans="1:6" ht="15" thickBot="1" x14ac:dyDescent="0.35">
      <c r="A10" s="26" t="s">
        <v>112</v>
      </c>
      <c r="B10" s="27" t="s">
        <v>113</v>
      </c>
      <c r="C10" s="28" t="s">
        <v>9</v>
      </c>
      <c r="D10" s="29">
        <v>2</v>
      </c>
    </row>
    <row r="11" spans="1:6" ht="15" thickBot="1" x14ac:dyDescent="0.35">
      <c r="A11" s="26" t="s">
        <v>114</v>
      </c>
      <c r="B11" s="27" t="s">
        <v>115</v>
      </c>
      <c r="C11" s="28" t="s">
        <v>9</v>
      </c>
      <c r="D11" s="29">
        <v>1</v>
      </c>
    </row>
    <row r="12" spans="1:6" ht="23.4" thickBot="1" x14ac:dyDescent="0.35">
      <c r="A12" s="26" t="s">
        <v>116</v>
      </c>
      <c r="B12" s="27" t="s">
        <v>117</v>
      </c>
      <c r="C12" s="28" t="s">
        <v>9</v>
      </c>
      <c r="D12" s="29">
        <v>1</v>
      </c>
    </row>
    <row r="13" spans="1:6" ht="15" thickBot="1" x14ac:dyDescent="0.35">
      <c r="A13" s="26" t="s">
        <v>118</v>
      </c>
      <c r="B13" s="27" t="s">
        <v>94</v>
      </c>
      <c r="C13" s="28" t="s">
        <v>7</v>
      </c>
      <c r="D13" s="29">
        <v>1</v>
      </c>
    </row>
    <row r="14" spans="1:6" ht="15" thickBot="1" x14ac:dyDescent="0.35">
      <c r="A14" s="26" t="s">
        <v>119</v>
      </c>
      <c r="B14" s="27" t="s">
        <v>120</v>
      </c>
      <c r="C14" s="28" t="s">
        <v>9</v>
      </c>
      <c r="D14" s="29">
        <v>3</v>
      </c>
    </row>
    <row r="15" spans="1:6" ht="15" thickBot="1" x14ac:dyDescent="0.35">
      <c r="A15" s="26" t="s">
        <v>121</v>
      </c>
      <c r="B15" s="27" t="s">
        <v>95</v>
      </c>
      <c r="C15" s="28" t="s">
        <v>9</v>
      </c>
      <c r="D15" s="29">
        <v>3</v>
      </c>
    </row>
    <row r="16" spans="1:6" ht="15" thickBot="1" x14ac:dyDescent="0.35">
      <c r="A16" s="26" t="s">
        <v>122</v>
      </c>
      <c r="B16" s="27" t="s">
        <v>123</v>
      </c>
      <c r="C16" s="28" t="s">
        <v>7</v>
      </c>
      <c r="D16" s="29">
        <v>3</v>
      </c>
    </row>
    <row r="17" spans="1:4" ht="23.4" thickBot="1" x14ac:dyDescent="0.35">
      <c r="A17" s="26" t="s">
        <v>124</v>
      </c>
      <c r="B17" s="27" t="s">
        <v>96</v>
      </c>
      <c r="C17" s="28" t="s">
        <v>7</v>
      </c>
      <c r="D17" s="29">
        <v>3</v>
      </c>
    </row>
    <row r="18" spans="1:4" ht="15" thickBot="1" x14ac:dyDescent="0.35">
      <c r="A18" s="26" t="s">
        <v>125</v>
      </c>
      <c r="B18" s="27" t="s">
        <v>126</v>
      </c>
      <c r="C18" s="28" t="s">
        <v>11</v>
      </c>
      <c r="D18" s="29">
        <v>3</v>
      </c>
    </row>
    <row r="19" spans="1:4" ht="15" thickBot="1" x14ac:dyDescent="0.35">
      <c r="A19" s="26" t="s">
        <v>127</v>
      </c>
      <c r="B19" s="27" t="s">
        <v>128</v>
      </c>
      <c r="C19" s="28" t="s">
        <v>9</v>
      </c>
      <c r="D19" s="29">
        <v>1</v>
      </c>
    </row>
    <row r="20" spans="1:4" ht="15" thickBot="1" x14ac:dyDescent="0.35">
      <c r="A20" s="26" t="s">
        <v>129</v>
      </c>
      <c r="B20" s="27" t="s">
        <v>130</v>
      </c>
      <c r="C20" s="28" t="s">
        <v>11</v>
      </c>
      <c r="D20" s="29">
        <v>5</v>
      </c>
    </row>
    <row r="21" spans="1:4" ht="15" thickBot="1" x14ac:dyDescent="0.35">
      <c r="A21" s="26" t="s">
        <v>97</v>
      </c>
      <c r="B21" s="27" t="s">
        <v>98</v>
      </c>
      <c r="C21" s="28" t="s">
        <v>9</v>
      </c>
      <c r="D21" s="29">
        <v>1</v>
      </c>
    </row>
    <row r="22" spans="1:4" ht="15" thickBot="1" x14ac:dyDescent="0.35">
      <c r="A22" s="26" t="s">
        <v>131</v>
      </c>
      <c r="B22" s="27" t="s">
        <v>93</v>
      </c>
      <c r="C22" s="28" t="s">
        <v>11</v>
      </c>
      <c r="D22" s="29">
        <v>5</v>
      </c>
    </row>
    <row r="23" spans="1:4" ht="15" thickBot="1" x14ac:dyDescent="0.35">
      <c r="A23" s="26" t="s">
        <v>132</v>
      </c>
      <c r="B23" s="27" t="s">
        <v>133</v>
      </c>
      <c r="C23" s="28" t="s">
        <v>11</v>
      </c>
      <c r="D23" s="29">
        <v>1</v>
      </c>
    </row>
    <row r="24" spans="1:4" ht="15" thickBot="1" x14ac:dyDescent="0.35">
      <c r="A24" s="2"/>
      <c r="B24" s="2"/>
      <c r="C24" s="2"/>
      <c r="D24" s="3"/>
    </row>
    <row r="25" spans="1:4" ht="15" thickBot="1" x14ac:dyDescent="0.35">
      <c r="A25" s="24"/>
      <c r="B25" s="24"/>
      <c r="C25" s="24"/>
      <c r="D25" s="25"/>
    </row>
    <row r="26" spans="1:4" ht="15" thickBot="1" x14ac:dyDescent="0.35">
      <c r="A26" s="26"/>
      <c r="B26" s="27"/>
      <c r="C26" s="28"/>
      <c r="D26" s="29"/>
    </row>
    <row r="27" spans="1:4" ht="15" thickBot="1" x14ac:dyDescent="0.35">
      <c r="A27" s="26"/>
      <c r="B27" s="27"/>
      <c r="C27" s="28"/>
      <c r="D27" s="29"/>
    </row>
    <row r="28" spans="1:4" ht="15" thickBot="1" x14ac:dyDescent="0.35">
      <c r="A28" s="26"/>
      <c r="B28" s="27"/>
      <c r="C28" s="28"/>
      <c r="D28" s="29"/>
    </row>
  </sheetData>
  <hyperlinks>
    <hyperlink ref="A2" r:id="rId1" display="https://maritzcx.atlassian.net/browse/BD-32792"/>
    <hyperlink ref="A3" r:id="rId2" display="https://maritzcx.atlassian.net/browse/BD-35523"/>
    <hyperlink ref="A4" r:id="rId3" display="https://maritzcx.atlassian.net/browse/BD-35524"/>
    <hyperlink ref="A5" r:id="rId4" display="https://maritzcx.atlassian.net/browse/BD-35525"/>
    <hyperlink ref="A6" r:id="rId5" display="https://maritzcx.atlassian.net/browse/BD-35526"/>
    <hyperlink ref="A7" r:id="rId6" display="https://maritzcx.atlassian.net/browse/BD-35531"/>
    <hyperlink ref="A8" r:id="rId7" display="https://maritzcx.atlassian.net/browse/BD-35532"/>
    <hyperlink ref="A9" r:id="rId8" display="https://maritzcx.atlassian.net/browse/BD-35534"/>
    <hyperlink ref="A10" r:id="rId9" display="https://maritzcx.atlassian.net/browse/BD-40774"/>
    <hyperlink ref="A11" r:id="rId10" display="https://maritzcx.atlassian.net/browse/BD-40775"/>
    <hyperlink ref="A12" r:id="rId11" display="https://maritzcx.atlassian.net/browse/BD-40946"/>
    <hyperlink ref="A13" r:id="rId12" display="https://maritzcx.atlassian.net/browse/BD-40986"/>
    <hyperlink ref="A14" r:id="rId13" display="https://maritzcx.atlassian.net/browse/BD-41206"/>
    <hyperlink ref="A15" r:id="rId14" display="https://maritzcx.atlassian.net/browse/BD-41259"/>
    <hyperlink ref="A16" r:id="rId15" display="https://maritzcx.atlassian.net/browse/BD-41357"/>
    <hyperlink ref="A17" r:id="rId16" display="https://maritzcx.atlassian.net/browse/BD-41409"/>
    <hyperlink ref="A18" r:id="rId17" display="https://maritzcx.atlassian.net/browse/BD-41425"/>
    <hyperlink ref="A19" r:id="rId18" display="https://maritzcx.atlassian.net/browse/BD-41625"/>
    <hyperlink ref="A20" r:id="rId19" display="https://maritzcx.atlassian.net/browse/BD-41626"/>
    <hyperlink ref="A21" r:id="rId20" display="https://maritzcx.atlassian.net/browse/BD-42016"/>
    <hyperlink ref="A22" r:id="rId21" display="https://maritzcx.atlassian.net/browse/BD-42231"/>
    <hyperlink ref="A23" r:id="rId22" display="https://maritzcx.atlassian.net/browse/BD-42473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13"/>
  <sheetViews>
    <sheetView tabSelected="1" workbookViewId="0">
      <selection activeCell="F2" sqref="F2"/>
    </sheetView>
  </sheetViews>
  <sheetFormatPr defaultColWidth="18.5546875" defaultRowHeight="18" x14ac:dyDescent="0.35"/>
  <cols>
    <col min="1" max="1" width="29.77734375" style="19" bestFit="1" customWidth="1"/>
    <col min="2" max="2" width="16" style="19" customWidth="1"/>
    <col min="3" max="3" width="17.88671875" style="19" customWidth="1"/>
    <col min="4" max="4" width="35.6640625" style="19" bestFit="1" customWidth="1"/>
    <col min="5" max="5" width="21.88671875" style="19" customWidth="1"/>
    <col min="6" max="6" width="24.33203125" style="19" customWidth="1"/>
    <col min="7" max="7" width="15.21875" style="19" bestFit="1" customWidth="1"/>
    <col min="8" max="16384" width="18.5546875" style="19"/>
  </cols>
  <sheetData>
    <row r="1" spans="1:7" ht="35.4" thickBot="1" x14ac:dyDescent="0.4">
      <c r="A1" s="14" t="s">
        <v>18</v>
      </c>
      <c r="B1" s="15" t="s">
        <v>17</v>
      </c>
      <c r="C1" s="15" t="s">
        <v>19</v>
      </c>
      <c r="D1" s="15" t="s">
        <v>14</v>
      </c>
      <c r="E1" s="15" t="s">
        <v>20</v>
      </c>
      <c r="F1" s="15" t="s">
        <v>21</v>
      </c>
      <c r="G1" s="15" t="s">
        <v>22</v>
      </c>
    </row>
    <row r="2" spans="1:7" ht="18.600000000000001" thickBot="1" x14ac:dyDescent="0.4">
      <c r="A2" s="16">
        <v>36</v>
      </c>
      <c r="B2" s="17">
        <v>30</v>
      </c>
      <c r="C2" s="18">
        <f>B2/A2</f>
        <v>0.83333333333333337</v>
      </c>
      <c r="D2" s="17">
        <v>46</v>
      </c>
      <c r="E2" s="18">
        <f>D2/A2</f>
        <v>1.2777777777777777</v>
      </c>
      <c r="F2" s="12">
        <v>7</v>
      </c>
      <c r="G2" s="12">
        <v>9</v>
      </c>
    </row>
    <row r="4" spans="1:7" x14ac:dyDescent="0.35">
      <c r="A4" s="34" t="s">
        <v>23</v>
      </c>
      <c r="B4" s="32"/>
      <c r="C4" s="32"/>
      <c r="D4" s="32"/>
      <c r="E4" s="32"/>
      <c r="F4" s="32"/>
      <c r="G4" s="32"/>
    </row>
    <row r="5" spans="1:7" x14ac:dyDescent="0.35">
      <c r="A5" s="35"/>
      <c r="B5" s="33"/>
      <c r="C5" s="33"/>
      <c r="D5" s="33"/>
      <c r="E5" s="33"/>
      <c r="F5" s="33"/>
      <c r="G5" s="33"/>
    </row>
    <row r="6" spans="1:7" x14ac:dyDescent="0.35">
      <c r="E6" s="23" t="s">
        <v>40</v>
      </c>
      <c r="F6" s="23" t="s">
        <v>41</v>
      </c>
    </row>
    <row r="7" spans="1:7" x14ac:dyDescent="0.35">
      <c r="A7" s="20" t="s">
        <v>9</v>
      </c>
      <c r="B7" s="12">
        <v>8</v>
      </c>
      <c r="D7" s="20" t="s">
        <v>16</v>
      </c>
      <c r="E7" s="12">
        <v>36</v>
      </c>
      <c r="F7" s="12">
        <v>17</v>
      </c>
    </row>
    <row r="8" spans="1:7" x14ac:dyDescent="0.35">
      <c r="A8" s="20" t="s">
        <v>7</v>
      </c>
      <c r="B8" s="12">
        <v>10</v>
      </c>
      <c r="D8" s="20" t="s">
        <v>17</v>
      </c>
      <c r="E8" s="12">
        <v>30</v>
      </c>
      <c r="F8" s="12">
        <v>15</v>
      </c>
    </row>
    <row r="9" spans="1:7" x14ac:dyDescent="0.35">
      <c r="A9" s="20" t="s">
        <v>11</v>
      </c>
      <c r="B9" s="12">
        <v>5</v>
      </c>
      <c r="D9" s="20" t="s">
        <v>14</v>
      </c>
      <c r="E9" s="12">
        <v>46</v>
      </c>
      <c r="F9" s="12">
        <v>26</v>
      </c>
    </row>
    <row r="10" spans="1:7" x14ac:dyDescent="0.35">
      <c r="A10" s="20" t="s">
        <v>13</v>
      </c>
      <c r="B10" s="12">
        <v>8</v>
      </c>
      <c r="D10" s="20" t="s">
        <v>15</v>
      </c>
      <c r="E10" s="12">
        <v>9</v>
      </c>
      <c r="F10" s="12">
        <v>3</v>
      </c>
    </row>
    <row r="11" spans="1:7" x14ac:dyDescent="0.35">
      <c r="A11" s="20" t="s">
        <v>35</v>
      </c>
      <c r="B11" s="12">
        <v>14</v>
      </c>
      <c r="D11" s="20" t="s">
        <v>36</v>
      </c>
      <c r="E11" s="12">
        <v>23</v>
      </c>
      <c r="F11" s="12">
        <v>14</v>
      </c>
    </row>
    <row r="12" spans="1:7" x14ac:dyDescent="0.35">
      <c r="D12" s="20" t="s">
        <v>37</v>
      </c>
      <c r="E12" s="12">
        <v>13</v>
      </c>
      <c r="F12" s="12">
        <v>7</v>
      </c>
    </row>
    <row r="13" spans="1:7" x14ac:dyDescent="0.35">
      <c r="D13" s="20" t="s">
        <v>38</v>
      </c>
      <c r="E13" s="12">
        <v>15</v>
      </c>
      <c r="F13" s="12">
        <v>9</v>
      </c>
    </row>
  </sheetData>
  <mergeCells count="2">
    <mergeCell ref="B4:G5"/>
    <mergeCell ref="A4:A5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2_Click">
                <anchor moveWithCells="1" sizeWithCells="1">
                  <from>
                    <xdr:col>2</xdr:col>
                    <xdr:colOff>693420</xdr:colOff>
                    <xdr:row>17</xdr:row>
                    <xdr:rowOff>91440</xdr:rowOff>
                  </from>
                  <to>
                    <xdr:col>3</xdr:col>
                    <xdr:colOff>739140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8"/>
  <sheetViews>
    <sheetView workbookViewId="0">
      <selection sqref="A1:XFD1048576"/>
    </sheetView>
  </sheetViews>
  <sheetFormatPr defaultColWidth="24.88671875" defaultRowHeight="14.4" x14ac:dyDescent="0.3"/>
  <cols>
    <col min="1" max="1" width="10.44140625" bestFit="1" customWidth="1"/>
    <col min="2" max="2" width="49.5546875" bestFit="1" customWidth="1"/>
    <col min="3" max="3" width="10.21875" bestFit="1" customWidth="1"/>
    <col min="4" max="4" width="10.77734375" customWidth="1"/>
    <col min="5" max="5" width="14.21875" bestFit="1" customWidth="1"/>
    <col min="6" max="6" width="16" bestFit="1" customWidth="1"/>
    <col min="7" max="7" width="19.6640625" bestFit="1" customWidth="1"/>
  </cols>
  <sheetData>
    <row r="1" spans="1:6" ht="15" thickBot="1" x14ac:dyDescent="0.35">
      <c r="A1" s="24" t="s">
        <v>2</v>
      </c>
      <c r="B1" s="24" t="s">
        <v>3</v>
      </c>
      <c r="C1" s="24" t="s">
        <v>4</v>
      </c>
      <c r="D1" s="25" t="s">
        <v>40</v>
      </c>
      <c r="E1" s="2"/>
      <c r="F1" s="3"/>
    </row>
    <row r="2" spans="1:6" ht="15" thickBot="1" x14ac:dyDescent="0.35">
      <c r="A2" s="26" t="s">
        <v>42</v>
      </c>
      <c r="B2" s="27" t="s">
        <v>43</v>
      </c>
      <c r="C2" s="28" t="s">
        <v>11</v>
      </c>
      <c r="D2" s="29">
        <v>3</v>
      </c>
    </row>
    <row r="3" spans="1:6" ht="23.4" thickBot="1" x14ac:dyDescent="0.35">
      <c r="A3" s="26" t="s">
        <v>44</v>
      </c>
      <c r="B3" s="27" t="s">
        <v>45</v>
      </c>
      <c r="C3" s="28" t="s">
        <v>9</v>
      </c>
      <c r="D3" s="29">
        <v>2</v>
      </c>
    </row>
    <row r="4" spans="1:6" ht="23.4" thickBot="1" x14ac:dyDescent="0.35">
      <c r="A4" s="26" t="s">
        <v>46</v>
      </c>
      <c r="B4" s="27" t="s">
        <v>47</v>
      </c>
      <c r="C4" s="28" t="s">
        <v>9</v>
      </c>
      <c r="D4" s="29">
        <v>2</v>
      </c>
    </row>
    <row r="5" spans="1:6" ht="15" thickBot="1" x14ac:dyDescent="0.35">
      <c r="A5" s="26" t="s">
        <v>48</v>
      </c>
      <c r="B5" s="27" t="s">
        <v>49</v>
      </c>
      <c r="C5" s="28" t="s">
        <v>9</v>
      </c>
      <c r="D5" s="29">
        <v>1</v>
      </c>
    </row>
    <row r="6" spans="1:6" ht="15" thickBot="1" x14ac:dyDescent="0.35">
      <c r="A6" s="26" t="s">
        <v>50</v>
      </c>
      <c r="B6" s="27" t="s">
        <v>51</v>
      </c>
      <c r="C6" s="28" t="s">
        <v>9</v>
      </c>
      <c r="D6" s="29">
        <v>1</v>
      </c>
    </row>
    <row r="7" spans="1:6" ht="15" thickBot="1" x14ac:dyDescent="0.35">
      <c r="A7" s="26" t="s">
        <v>52</v>
      </c>
      <c r="B7" s="27" t="s">
        <v>53</v>
      </c>
      <c r="C7" s="28" t="s">
        <v>9</v>
      </c>
      <c r="D7" s="29">
        <v>1</v>
      </c>
    </row>
    <row r="8" spans="1:6" ht="23.4" thickBot="1" x14ac:dyDescent="0.35">
      <c r="A8" s="26" t="s">
        <v>54</v>
      </c>
      <c r="B8" s="27" t="s">
        <v>55</v>
      </c>
      <c r="C8" s="28" t="s">
        <v>9</v>
      </c>
      <c r="D8" s="29">
        <v>2</v>
      </c>
    </row>
    <row r="9" spans="1:6" ht="15" thickBot="1" x14ac:dyDescent="0.35">
      <c r="A9" s="26" t="s">
        <v>56</v>
      </c>
      <c r="B9" s="27" t="s">
        <v>57</v>
      </c>
      <c r="C9" s="28" t="s">
        <v>9</v>
      </c>
      <c r="D9" s="29">
        <v>2</v>
      </c>
    </row>
    <row r="10" spans="1:6" ht="23.4" thickBot="1" x14ac:dyDescent="0.35">
      <c r="A10" s="26" t="s">
        <v>58</v>
      </c>
      <c r="B10" s="27" t="s">
        <v>59</v>
      </c>
      <c r="C10" s="28" t="s">
        <v>9</v>
      </c>
      <c r="D10" s="29">
        <v>1</v>
      </c>
    </row>
    <row r="11" spans="1:6" ht="15" thickBot="1" x14ac:dyDescent="0.35">
      <c r="A11" s="26" t="s">
        <v>60</v>
      </c>
      <c r="B11" s="27" t="s">
        <v>61</v>
      </c>
      <c r="C11" s="28" t="s">
        <v>9</v>
      </c>
      <c r="D11" s="29">
        <v>3</v>
      </c>
    </row>
    <row r="12" spans="1:6" ht="15" thickBot="1" x14ac:dyDescent="0.35">
      <c r="A12" s="26" t="s">
        <v>62</v>
      </c>
      <c r="B12" s="27" t="s">
        <v>63</v>
      </c>
      <c r="C12" s="28" t="s">
        <v>11</v>
      </c>
      <c r="D12" s="29">
        <v>3</v>
      </c>
    </row>
    <row r="13" spans="1:6" ht="15" thickBot="1" x14ac:dyDescent="0.35">
      <c r="A13" s="26" t="s">
        <v>64</v>
      </c>
      <c r="B13" s="27" t="s">
        <v>65</v>
      </c>
      <c r="C13" s="28" t="s">
        <v>9</v>
      </c>
      <c r="D13" s="29">
        <v>3</v>
      </c>
    </row>
    <row r="14" spans="1:6" ht="15" thickBot="1" x14ac:dyDescent="0.35">
      <c r="A14" s="26" t="s">
        <v>66</v>
      </c>
      <c r="B14" s="27" t="s">
        <v>67</v>
      </c>
      <c r="C14" s="28" t="s">
        <v>9</v>
      </c>
      <c r="D14" s="29">
        <v>3</v>
      </c>
    </row>
    <row r="15" spans="1:6" ht="15" thickBot="1" x14ac:dyDescent="0.35">
      <c r="A15" s="26" t="s">
        <v>68</v>
      </c>
      <c r="B15" s="27" t="s">
        <v>69</v>
      </c>
      <c r="C15" s="28" t="s">
        <v>9</v>
      </c>
      <c r="D15" s="29">
        <v>5</v>
      </c>
    </row>
    <row r="16" spans="1:6" ht="15" thickBot="1" x14ac:dyDescent="0.35">
      <c r="A16" s="26" t="s">
        <v>70</v>
      </c>
      <c r="B16" s="27" t="s">
        <v>71</v>
      </c>
      <c r="C16" s="28" t="s">
        <v>9</v>
      </c>
      <c r="D16" s="29">
        <v>1</v>
      </c>
    </row>
    <row r="17" spans="1:4" ht="15" thickBot="1" x14ac:dyDescent="0.35">
      <c r="A17" s="26" t="s">
        <v>72</v>
      </c>
      <c r="B17" s="27" t="s">
        <v>73</v>
      </c>
      <c r="C17" s="28" t="s">
        <v>9</v>
      </c>
      <c r="D17" s="29">
        <v>1</v>
      </c>
    </row>
    <row r="18" spans="1:4" ht="15" thickBot="1" x14ac:dyDescent="0.35">
      <c r="A18" s="26" t="s">
        <v>74</v>
      </c>
      <c r="B18" s="27" t="s">
        <v>75</v>
      </c>
      <c r="C18" s="28" t="s">
        <v>9</v>
      </c>
      <c r="D18" s="29">
        <v>2</v>
      </c>
    </row>
    <row r="19" spans="1:4" ht="15" thickBot="1" x14ac:dyDescent="0.35">
      <c r="A19" s="26" t="s">
        <v>76</v>
      </c>
      <c r="B19" s="27" t="s">
        <v>77</v>
      </c>
      <c r="C19" s="28" t="s">
        <v>9</v>
      </c>
      <c r="D19" s="29">
        <v>1</v>
      </c>
    </row>
    <row r="20" spans="1:4" ht="15" thickBot="1" x14ac:dyDescent="0.35">
      <c r="A20" s="26" t="s">
        <v>78</v>
      </c>
      <c r="B20" s="27" t="s">
        <v>79</v>
      </c>
      <c r="C20" s="28" t="s">
        <v>9</v>
      </c>
      <c r="D20" s="29">
        <v>1</v>
      </c>
    </row>
    <row r="21" spans="1:4" ht="15" thickBot="1" x14ac:dyDescent="0.35">
      <c r="A21" s="26" t="s">
        <v>80</v>
      </c>
      <c r="B21" s="27" t="s">
        <v>81</v>
      </c>
      <c r="C21" s="28" t="s">
        <v>9</v>
      </c>
      <c r="D21" s="29">
        <v>2</v>
      </c>
    </row>
    <row r="22" spans="1:4" ht="15" thickBot="1" x14ac:dyDescent="0.35">
      <c r="A22" s="26" t="s">
        <v>82</v>
      </c>
      <c r="B22" s="27" t="s">
        <v>83</v>
      </c>
      <c r="C22" s="28" t="s">
        <v>9</v>
      </c>
      <c r="D22" s="29">
        <v>1</v>
      </c>
    </row>
    <row r="23" spans="1:4" ht="15" thickBot="1" x14ac:dyDescent="0.35">
      <c r="A23" s="26" t="s">
        <v>84</v>
      </c>
      <c r="B23" s="27" t="s">
        <v>85</v>
      </c>
      <c r="C23" s="28" t="s">
        <v>11</v>
      </c>
      <c r="D23" s="29">
        <v>0.5</v>
      </c>
    </row>
    <row r="24" spans="1:4" ht="15" thickBot="1" x14ac:dyDescent="0.35">
      <c r="A24" s="2"/>
      <c r="B24" s="2"/>
      <c r="C24" s="2"/>
      <c r="D24" s="3"/>
    </row>
    <row r="25" spans="1:4" ht="15" thickBot="1" x14ac:dyDescent="0.35">
      <c r="A25" s="24" t="s">
        <v>2</v>
      </c>
      <c r="B25" s="24" t="s">
        <v>3</v>
      </c>
      <c r="C25" s="24" t="s">
        <v>4</v>
      </c>
      <c r="D25" s="25" t="s">
        <v>40</v>
      </c>
    </row>
    <row r="26" spans="1:4" ht="15" thickBot="1" x14ac:dyDescent="0.35">
      <c r="A26" s="26" t="s">
        <v>86</v>
      </c>
      <c r="B26" s="27" t="s">
        <v>87</v>
      </c>
      <c r="C26" s="28" t="s">
        <v>9</v>
      </c>
      <c r="D26" s="29">
        <v>3</v>
      </c>
    </row>
    <row r="27" spans="1:4" ht="15" thickBot="1" x14ac:dyDescent="0.35">
      <c r="A27" s="26" t="s">
        <v>88</v>
      </c>
      <c r="B27" s="27" t="s">
        <v>89</v>
      </c>
      <c r="C27" s="28" t="s">
        <v>9</v>
      </c>
      <c r="D27" s="29">
        <v>3</v>
      </c>
    </row>
    <row r="28" spans="1:4" ht="15" thickBot="1" x14ac:dyDescent="0.35">
      <c r="A28" s="26" t="s">
        <v>90</v>
      </c>
      <c r="B28" s="27" t="s">
        <v>91</v>
      </c>
      <c r="C28" s="28" t="s">
        <v>9</v>
      </c>
      <c r="D28" s="29">
        <v>3</v>
      </c>
    </row>
  </sheetData>
  <hyperlinks>
    <hyperlink ref="A26" r:id="rId1" display="https://maritzcx.atlassian.net/browse/BD-35531"/>
    <hyperlink ref="A27" r:id="rId2" display="https://maritzcx.atlassian.net/browse/BD-35532"/>
    <hyperlink ref="A28" r:id="rId3" display="https://maritzcx.atlassian.net/browse/BD-35534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14" sqref="F14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Sheet1</vt:lpstr>
      <vt:lpstr>Sheet2</vt:lpstr>
      <vt:lpstr>Dashboard</vt:lpstr>
      <vt:lpstr>Report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Jayraj Vahadane</dc:creator>
  <cp:lastModifiedBy>Jayraj Vahadane</cp:lastModifiedBy>
  <dcterms:created xsi:type="dcterms:W3CDTF">2018-09-07T11:39:18Z</dcterms:created>
  <dcterms:modified xsi:type="dcterms:W3CDTF">2019-01-15T09:40:55Z</dcterms:modified>
</cp:coreProperties>
</file>