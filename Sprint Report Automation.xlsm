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to\trial\"/>
    </mc:Choice>
  </mc:AlternateContent>
  <bookViews>
    <workbookView xWindow="0" yWindow="0" windowWidth="23040" windowHeight="9216" activeTab="2"/>
  </bookViews>
  <sheets>
    <sheet name="Instructions" sheetId="9" r:id="rId1"/>
    <sheet name="Sheet1" sheetId="5" r:id="rId2"/>
    <sheet name="Dashboard" sheetId="6" r:id="rId3"/>
  </sheets>
  <functionGroups builtInGroupCount="18"/>
  <definedNames>
    <definedName name="_xlnm._FilterDatabase" localSheetId="1" hidden="1">Sheet1!$A$3:$F$29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6" l="1"/>
  <c r="C2" i="6" l="1"/>
</calcChain>
</file>

<file path=xl/sharedStrings.xml><?xml version="1.0" encoding="utf-8"?>
<sst xmlns="http://schemas.openxmlformats.org/spreadsheetml/2006/main" count="211" uniqueCount="110">
  <si>
    <t>Completed Issues</t>
  </si>
  <si>
    <t>View in Issue Navigator</t>
  </si>
  <si>
    <t>Key</t>
  </si>
  <si>
    <t>Summary</t>
  </si>
  <si>
    <t>Issue Type</t>
  </si>
  <si>
    <t>Priority</t>
  </si>
  <si>
    <t>Status</t>
  </si>
  <si>
    <t>Bug</t>
  </si>
  <si>
    <t>ACCEPTED</t>
  </si>
  <si>
    <t>Story</t>
  </si>
  <si>
    <t>None</t>
  </si>
  <si>
    <t>Task</t>
  </si>
  <si>
    <t>DONE</t>
  </si>
  <si>
    <t>Technical Debt</t>
  </si>
  <si>
    <t>Issues Not Completed</t>
  </si>
  <si>
    <t>IN PROGRESS</t>
  </si>
  <si>
    <t>NNA-Base-Investigate Sample Processing Test Seeds</t>
  </si>
  <si>
    <t>READY FOR RELEASE</t>
  </si>
  <si>
    <t>Priority 1</t>
  </si>
  <si>
    <t>Issues Removed From Sprint</t>
  </si>
  <si>
    <t>Final Completed</t>
  </si>
  <si>
    <t>Total Completed</t>
  </si>
  <si>
    <t>Total Incomplete</t>
  </si>
  <si>
    <t>Total Committed</t>
  </si>
  <si>
    <t>Committed Completed</t>
  </si>
  <si>
    <t>BD-32487</t>
  </si>
  <si>
    <t>Committed</t>
  </si>
  <si>
    <t>Acceptance Rate</t>
  </si>
  <si>
    <t>Completion Rate</t>
  </si>
  <si>
    <t>Delivered Value</t>
  </si>
  <si>
    <t>Bugs Fixed</t>
  </si>
  <si>
    <t>Note:</t>
  </si>
  <si>
    <t>- #1</t>
  </si>
  <si>
    <t>Instruction</t>
  </si>
  <si>
    <t>Sheet1 is having Tempest Tribe's sprint report copied from JIRA, please make sure that you are copying your own Tribe's report from JIRA according to  sample report provided on Sheet1.</t>
  </si>
  <si>
    <t>Select content on Sheet1 and delete everything</t>
  </si>
  <si>
    <t>Paste your report content on Sheet1, from LeftMost- Topmost cell (1,1)</t>
  </si>
  <si>
    <t>Now, most importantly, there is one irritating special char on the Story Points Column, i.e. → </t>
  </si>
  <si>
    <t>Go to any of the cell which contains → , select this char and keep selecting till next number, do not select this number. Just make sure that next spaces are getting selected(From  →  till next number. Copy this content.</t>
  </si>
  <si>
    <t xml:space="preserve">Do a Replace All, paste your selected content in Find What and Replace it with  #. </t>
  </si>
  <si>
    <t>It should populate all the content apporpriately.</t>
  </si>
  <si>
    <t>DO NOT CHANGE NAME OF ANY OF THE SHEETS</t>
  </si>
  <si>
    <t>Sequence</t>
  </si>
  <si>
    <t>Go to Dashboard and press Hit Me button</t>
  </si>
  <si>
    <t>BD-30292</t>
  </si>
  <si>
    <t>NNA-E17034-3a-Add Comparator/Employee dropdown menu for dealer manager</t>
  </si>
  <si>
    <t>BD-30338</t>
  </si>
  <si>
    <t>NNA-E18003- Encrypt TQ files</t>
  </si>
  <si>
    <t>BD-30345</t>
  </si>
  <si>
    <t>NNA - E18014 - Update the Recode File Layout</t>
  </si>
  <si>
    <t>BD-30346</t>
  </si>
  <si>
    <t>NNA - E18014 - Add tampering type INFO to Case Detail page footnote</t>
  </si>
  <si>
    <t>BD-31347</t>
  </si>
  <si>
    <t>CaseIH-C008-Update Monthly Quality Alert Email</t>
  </si>
  <si>
    <t>BD-31487</t>
  </si>
  <si>
    <t>CaseIH-Base-Email Override</t>
  </si>
  <si>
    <t>BD-32873</t>
  </si>
  <si>
    <t>FCA-Base-Submit ESS Ticket for FCA Web Site Security Scan</t>
  </si>
  <si>
    <t>BD-32874</t>
  </si>
  <si>
    <t>NNA-Base-Submit ESS Ticket for NNA OFS Web Site Security Scan</t>
  </si>
  <si>
    <t>BD-32875</t>
  </si>
  <si>
    <t>CaseIH-Base-Submit ESS Ticket for CaseIH Web Site Security Scan</t>
  </si>
  <si>
    <t>BD-33222</t>
  </si>
  <si>
    <t>NNA-E17153- Add Best Practice PDFs to Resources dropdown</t>
  </si>
  <si>
    <t>BD-34019</t>
  </si>
  <si>
    <t>FCA-Base-Monthly Scoring and Off-Line Reports - 8/29</t>
  </si>
  <si>
    <t>BD-34539</t>
  </si>
  <si>
    <t>NNA-E18055 – Summarize Sales Qs Quote</t>
  </si>
  <si>
    <t>BD-34548</t>
  </si>
  <si>
    <t>NNA-Base-Remove link from Documentation and Training page</t>
  </si>
  <si>
    <t>BD-34594</t>
  </si>
  <si>
    <t>FCA - Platform - Create FCA Group Sales hierarchy</t>
  </si>
  <si>
    <t>BD-34641</t>
  </si>
  <si>
    <t>NNA-17135-Update Appeal Entry Verbiage</t>
  </si>
  <si>
    <t>BD-34781</t>
  </si>
  <si>
    <t>NNA - E18005 - Add link to Doc and Training Page</t>
  </si>
  <si>
    <t>BD-34803</t>
  </si>
  <si>
    <t>BUFFER - Sprint 18</t>
  </si>
  <si>
    <t>BD-34814</t>
  </si>
  <si>
    <t>FCA - Update Base Sales Survey Lookup Tables - CDJRF</t>
  </si>
  <si>
    <t>BD-34815</t>
  </si>
  <si>
    <t>FCA - Update Base Service Survey Lookup Tables - CDJRF</t>
  </si>
  <si>
    <t>BD-34823</t>
  </si>
  <si>
    <t>NNA-17135-Add Help Doc Links</t>
  </si>
  <si>
    <t>BD-35001</t>
  </si>
  <si>
    <t>FCA - 2019 Launch - POC : Updating existing CSS vs Building in Angular</t>
  </si>
  <si>
    <t>BD-35033</t>
  </si>
  <si>
    <t>NNA-E18077-Quote-Add Sales Q15f to IITB files</t>
  </si>
  <si>
    <t>BD-35075</t>
  </si>
  <si>
    <t>NNA-Bug-Biztalk Returns processing failures</t>
  </si>
  <si>
    <t>Priority 2</t>
  </si>
  <si>
    <t>BD-35076</t>
  </si>
  <si>
    <t>NNA - Create query for GSS to isolate mis-match between Employee files</t>
  </si>
  <si>
    <t>BD-35243</t>
  </si>
  <si>
    <t>Deploy BD-34238 on production</t>
  </si>
  <si>
    <t>BD-35658 *</t>
  </si>
  <si>
    <t>NNA-Bug-Geocoding/Allocation Failure to Update Records</t>
  </si>
  <si>
    <t>Story Points (6)</t>
  </si>
  <si>
    <t>BD-35244</t>
  </si>
  <si>
    <t>NNA - Scoring Analysis for BD-30345</t>
  </si>
  <si>
    <t>BD-35686 *</t>
  </si>
  <si>
    <t>NNA-Bug-TE/TQ files missing large amounts of data.</t>
  </si>
  <si>
    <t>BD-35382 *</t>
  </si>
  <si>
    <t>Security Investigation - All 3 Tempest Programs</t>
  </si>
  <si>
    <t>READY FOR DEVELOPMENT</t>
  </si>
  <si>
    <t>Story Points (61 #60)</t>
  </si>
  <si>
    <t>2 #-</t>
  </si>
  <si>
    <t>Story Points (- #1)</t>
  </si>
  <si>
    <t>Added after sprint planning</t>
  </si>
  <si>
    <t>Total added after sprint planning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</si>
</sst>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8"/>
      <color rgb="FF6C798F"/>
      <name val="Segoe UI"/>
      <family val="2"/>
    </font>
    <font>
      <sz val="8"/>
      <color rgb="FF333333"/>
      <name val="Segoe UI"/>
      <family val="2"/>
    </font>
    <font>
      <sz val="8"/>
      <color rgb="FF707070"/>
      <name val="Segoe UI"/>
      <family val="2"/>
    </font>
    <font>
      <u/>
      <sz val="11"/>
      <color theme="10"/>
      <name val="Calibri"/>
      <family val="2"/>
      <scheme val="minor"/>
    </font>
    <font>
      <sz val="10"/>
      <color rgb="FF172B4D"/>
      <name val="Segoe UI"/>
      <family val="2"/>
    </font>
    <font>
      <sz val="7"/>
      <color rgb="FF00875A"/>
      <name val="Segoe UI"/>
      <family val="2"/>
    </font>
    <font>
      <sz val="7"/>
      <color rgb="FF0052CC"/>
      <name val="Segoe U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333333"/>
      <name val="Arial"/>
      <family val="2"/>
    </font>
    <font>
      <sz val="14"/>
      <color rgb="FF7F7F7F"/>
      <name val="Arial"/>
      <family val="2"/>
    </font>
    <font>
      <sz val="14"/>
      <color rgb="FF000000"/>
      <name val="Yu Mincho"/>
      <family val="1"/>
    </font>
    <font>
      <sz val="10"/>
      <color rgb="FF172B4D"/>
      <name val="Segoe UI"/>
      <family val="2"/>
    </font>
    <font>
      <sz val="7"/>
      <color rgb="FF00875A"/>
      <name val="Segoe UI"/>
      <family val="2"/>
    </font>
    <font>
      <sz val="7"/>
      <color rgb="FF0052CC"/>
      <name val="Segoe UI"/>
      <family val="2"/>
    </font>
    <font>
      <sz val="7"/>
      <color rgb="FF42526E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5F7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9">
    <xf numFmtId="0" fontId="0" fillId="0" borderId="0" xfId="0"/>
    <xf numFmtId="0" fontId="4" fillId="0" borderId="0" xfId="1" applyAlignment="1">
      <alignment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right" vertical="top"/>
    </xf>
    <xf numFmtId="0" fontId="4" fillId="2" borderId="0" xfId="1" applyFill="1" applyAlignment="1">
      <alignment horizontal="left" vertical="top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right" vertical="top"/>
    </xf>
    <xf numFmtId="0" fontId="3" fillId="2" borderId="0" xfId="0" applyFont="1" applyFill="1" applyAlignment="1">
      <alignment horizontal="right" vertical="top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 wrapText="1"/>
    </xf>
    <xf numFmtId="0" fontId="6" fillId="2" borderId="0" xfId="0" applyFont="1" applyFill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9" fillId="0" borderId="6" xfId="0" applyFont="1" applyBorder="1" applyAlignment="1">
      <alignment vertical="top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/>
    <xf numFmtId="0" fontId="10" fillId="0" borderId="6" xfId="0" applyFont="1" applyBorder="1" applyAlignment="1">
      <alignment horizontal="center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9" fontId="13" fillId="0" borderId="5" xfId="0" applyNumberFormat="1" applyFont="1" applyBorder="1" applyAlignment="1">
      <alignment horizontal="center" vertical="center" wrapText="1"/>
    </xf>
    <xf numFmtId="0" fontId="9" fillId="0" borderId="0" xfId="0" applyFont="1"/>
    <xf numFmtId="0" fontId="8" fillId="0" borderId="6" xfId="0" applyFont="1" applyBorder="1"/>
    <xf numFmtId="0" fontId="15" fillId="0" borderId="0" xfId="0" applyFont="1" applyAlignment="1">
      <alignment vertical="center" wrapText="1"/>
    </xf>
    <xf numFmtId="0" fontId="16" fillId="2" borderId="0" xfId="0" applyFont="1" applyFill="1" applyAlignment="1">
      <alignment horizontal="left" vertical="top"/>
    </xf>
    <xf numFmtId="0" fontId="4" fillId="3" borderId="0" xfId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2" fillId="3" borderId="0" xfId="0" applyFont="1" applyFill="1" applyAlignment="1">
      <alignment horizontal="left" vertical="top"/>
    </xf>
    <xf numFmtId="0" fontId="16" fillId="3" borderId="0" xfId="0" applyFont="1" applyFill="1" applyAlignment="1">
      <alignment horizontal="left" vertical="top"/>
    </xf>
    <xf numFmtId="0" fontId="2" fillId="3" borderId="0" xfId="0" applyFont="1" applyFill="1" applyAlignment="1">
      <alignment horizontal="right" vertical="top"/>
    </xf>
    <xf numFmtId="0" fontId="17" fillId="2" borderId="0" xfId="0" applyFont="1" applyFill="1" applyAlignment="1">
      <alignment horizontal="left" vertical="top"/>
    </xf>
    <xf numFmtId="0" fontId="18" fillId="2" borderId="0" xfId="0" applyFont="1" applyFill="1" applyAlignment="1">
      <alignment horizontal="left" vertical="top"/>
    </xf>
    <xf numFmtId="0" fontId="11" fillId="0" borderId="9" xfId="0" applyFont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 wrapText="1"/>
    </xf>
    <xf numFmtId="0" fontId="9" fillId="0" borderId="7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12</xdr:row>
          <xdr:rowOff>91440</xdr:rowOff>
        </xdr:from>
        <xdr:to>
          <xdr:col>3</xdr:col>
          <xdr:colOff>739140</xdr:colOff>
          <xdr:row>14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Yu Mincho"/>
                  <a:ea typeface="Yu Mincho"/>
                </a:rPr>
                <a:t>Hit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itzcx.atlassian.net/browse/BD-34019" TargetMode="External"/><Relationship Id="rId18" Type="http://schemas.openxmlformats.org/officeDocument/2006/relationships/hyperlink" Target="https://maritzcx.atlassian.net/browse/BD-34781" TargetMode="External"/><Relationship Id="rId26" Type="http://schemas.openxmlformats.org/officeDocument/2006/relationships/hyperlink" Target="https://maritzcx.atlassian.net/browse/BD-35076" TargetMode="External"/><Relationship Id="rId3" Type="http://schemas.openxmlformats.org/officeDocument/2006/relationships/hyperlink" Target="https://maritzcx.atlassian.net/browse/BD-30338" TargetMode="External"/><Relationship Id="rId21" Type="http://schemas.openxmlformats.org/officeDocument/2006/relationships/hyperlink" Target="https://maritzcx.atlassian.net/browse/BD-34815" TargetMode="External"/><Relationship Id="rId7" Type="http://schemas.openxmlformats.org/officeDocument/2006/relationships/hyperlink" Target="https://maritzcx.atlassian.net/browse/BD-31487" TargetMode="External"/><Relationship Id="rId12" Type="http://schemas.openxmlformats.org/officeDocument/2006/relationships/hyperlink" Target="https://maritzcx.atlassian.net/browse/BD-33222" TargetMode="External"/><Relationship Id="rId17" Type="http://schemas.openxmlformats.org/officeDocument/2006/relationships/hyperlink" Target="https://maritzcx.atlassian.net/browse/BD-34641" TargetMode="External"/><Relationship Id="rId25" Type="http://schemas.openxmlformats.org/officeDocument/2006/relationships/hyperlink" Target="https://maritzcx.atlassian.net/browse/BD-35075" TargetMode="External"/><Relationship Id="rId33" Type="http://schemas.openxmlformats.org/officeDocument/2006/relationships/hyperlink" Target="https://maritzcx.atlassian.net/browse/BD-35382" TargetMode="External"/><Relationship Id="rId2" Type="http://schemas.openxmlformats.org/officeDocument/2006/relationships/hyperlink" Target="https://maritzcx.atlassian.net/browse/BD-30292" TargetMode="External"/><Relationship Id="rId16" Type="http://schemas.openxmlformats.org/officeDocument/2006/relationships/hyperlink" Target="https://maritzcx.atlassian.net/browse/BD-34594" TargetMode="External"/><Relationship Id="rId20" Type="http://schemas.openxmlformats.org/officeDocument/2006/relationships/hyperlink" Target="https://maritzcx.atlassian.net/browse/BD-34814" TargetMode="External"/><Relationship Id="rId29" Type="http://schemas.openxmlformats.org/officeDocument/2006/relationships/hyperlink" Target="https://maritzcx.atlassian.net/issues/?jql=issueKey%20in%20(BD-35244%2CBD-35686)" TargetMode="External"/><Relationship Id="rId1" Type="http://schemas.openxmlformats.org/officeDocument/2006/relationships/hyperlink" Target="https://maritzcx.atlassian.net/issues/?jql=issueKey%20in%20(BD-30292%2CBD-30338%2CBD-30345%2CBD-30346%2CBD-31347%2CBD-31487%2CBD-32487%2CBD-32873%2CBD-32874%2CBD-32875%2CBD-33222%2CBD-34019%2CBD-34539%2CBD-34548%2CBD-34594%2CBD-34641%2CBD-34781%2CBD-34803%2CBD-34814%2CBD-34815%2CBD-34823%2CBD-35001%2CBD-35033%2CBD-35075%2CBD-35076%2CBD-35243%2CBD-35658)" TargetMode="External"/><Relationship Id="rId6" Type="http://schemas.openxmlformats.org/officeDocument/2006/relationships/hyperlink" Target="https://maritzcx.atlassian.net/browse/BD-31347" TargetMode="External"/><Relationship Id="rId11" Type="http://schemas.openxmlformats.org/officeDocument/2006/relationships/hyperlink" Target="https://maritzcx.atlassian.net/browse/BD-32875" TargetMode="External"/><Relationship Id="rId24" Type="http://schemas.openxmlformats.org/officeDocument/2006/relationships/hyperlink" Target="https://maritzcx.atlassian.net/browse/BD-35033" TargetMode="External"/><Relationship Id="rId32" Type="http://schemas.openxmlformats.org/officeDocument/2006/relationships/hyperlink" Target="https://maritzcx.atlassian.net/issues/?jql=issueKey%20in%20(BD-35382)" TargetMode="External"/><Relationship Id="rId5" Type="http://schemas.openxmlformats.org/officeDocument/2006/relationships/hyperlink" Target="https://maritzcx.atlassian.net/browse/BD-30346" TargetMode="External"/><Relationship Id="rId15" Type="http://schemas.openxmlformats.org/officeDocument/2006/relationships/hyperlink" Target="https://maritzcx.atlassian.net/browse/BD-34548" TargetMode="External"/><Relationship Id="rId23" Type="http://schemas.openxmlformats.org/officeDocument/2006/relationships/hyperlink" Target="https://maritzcx.atlassian.net/browse/BD-35001" TargetMode="External"/><Relationship Id="rId28" Type="http://schemas.openxmlformats.org/officeDocument/2006/relationships/hyperlink" Target="https://maritzcx.atlassian.net/browse/BD-35658" TargetMode="External"/><Relationship Id="rId10" Type="http://schemas.openxmlformats.org/officeDocument/2006/relationships/hyperlink" Target="https://maritzcx.atlassian.net/browse/BD-32874" TargetMode="External"/><Relationship Id="rId19" Type="http://schemas.openxmlformats.org/officeDocument/2006/relationships/hyperlink" Target="https://maritzcx.atlassian.net/browse/BD-34803" TargetMode="External"/><Relationship Id="rId31" Type="http://schemas.openxmlformats.org/officeDocument/2006/relationships/hyperlink" Target="https://maritzcx.atlassian.net/browse/BD-35686" TargetMode="External"/><Relationship Id="rId4" Type="http://schemas.openxmlformats.org/officeDocument/2006/relationships/hyperlink" Target="https://maritzcx.atlassian.net/browse/BD-30345" TargetMode="External"/><Relationship Id="rId9" Type="http://schemas.openxmlformats.org/officeDocument/2006/relationships/hyperlink" Target="https://maritzcx.atlassian.net/browse/BD-32873" TargetMode="External"/><Relationship Id="rId14" Type="http://schemas.openxmlformats.org/officeDocument/2006/relationships/hyperlink" Target="https://maritzcx.atlassian.net/browse/BD-34539" TargetMode="External"/><Relationship Id="rId22" Type="http://schemas.openxmlformats.org/officeDocument/2006/relationships/hyperlink" Target="https://maritzcx.atlassian.net/browse/BD-34823" TargetMode="External"/><Relationship Id="rId27" Type="http://schemas.openxmlformats.org/officeDocument/2006/relationships/hyperlink" Target="https://maritzcx.atlassian.net/browse/BD-35243" TargetMode="External"/><Relationship Id="rId30" Type="http://schemas.openxmlformats.org/officeDocument/2006/relationships/hyperlink" Target="https://maritzcx.atlassian.net/browse/BD-35244" TargetMode="External"/><Relationship Id="rId8" Type="http://schemas.openxmlformats.org/officeDocument/2006/relationships/hyperlink" Target="https://maritzcx.atlassian.net/browse/BD-32487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B8" sqref="B8"/>
    </sheetView>
  </sheetViews>
  <sheetFormatPr defaultRowHeight="14.4" x14ac:dyDescent="0.3"/>
  <cols>
    <col min="1" max="1" width="11.33203125" bestFit="1" customWidth="1"/>
    <col min="2" max="2" width="114.21875" customWidth="1"/>
  </cols>
  <sheetData>
    <row r="1" spans="1:2" ht="18" x14ac:dyDescent="0.35">
      <c r="A1" s="16" t="s">
        <v>42</v>
      </c>
      <c r="B1" s="16" t="s">
        <v>33</v>
      </c>
    </row>
    <row r="2" spans="1:2" ht="54" x14ac:dyDescent="0.3">
      <c r="A2" s="13">
        <v>1</v>
      </c>
      <c r="B2" s="14" t="s">
        <v>34</v>
      </c>
    </row>
    <row r="3" spans="1:2" ht="18" x14ac:dyDescent="0.3">
      <c r="A3" s="13">
        <v>2</v>
      </c>
      <c r="B3" s="14" t="s">
        <v>35</v>
      </c>
    </row>
    <row r="4" spans="1:2" ht="18" x14ac:dyDescent="0.35">
      <c r="A4" s="15">
        <v>3</v>
      </c>
      <c r="B4" s="15" t="s">
        <v>36</v>
      </c>
    </row>
    <row r="5" spans="1:2" ht="18" x14ac:dyDescent="0.35">
      <c r="A5" s="15">
        <v>4</v>
      </c>
      <c r="B5" s="15" t="s">
        <v>37</v>
      </c>
    </row>
    <row r="6" spans="1:2" ht="54" x14ac:dyDescent="0.3">
      <c r="A6" s="13">
        <v>5</v>
      </c>
      <c r="B6" s="14" t="s">
        <v>38</v>
      </c>
    </row>
    <row r="7" spans="1:2" ht="18" x14ac:dyDescent="0.3">
      <c r="A7" s="13">
        <v>6</v>
      </c>
      <c r="B7" s="14" t="s">
        <v>39</v>
      </c>
    </row>
    <row r="8" spans="1:2" ht="18" x14ac:dyDescent="0.3">
      <c r="A8" s="13">
        <v>7</v>
      </c>
      <c r="B8" s="14" t="s">
        <v>43</v>
      </c>
    </row>
    <row r="9" spans="1:2" ht="18" x14ac:dyDescent="0.3">
      <c r="A9" s="13">
        <v>8</v>
      </c>
      <c r="B9" s="14" t="s">
        <v>40</v>
      </c>
    </row>
    <row r="10" spans="1:2" ht="18" x14ac:dyDescent="0.3">
      <c r="A10" s="33" t="s">
        <v>41</v>
      </c>
      <c r="B10" s="34"/>
    </row>
  </sheetData>
  <mergeCells count="1">
    <mergeCell ref="A10:B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2"/>
  <sheetViews>
    <sheetView topLeftCell="A22" workbookViewId="0">
      <selection activeCell="J3" sqref="J3"/>
    </sheetView>
  </sheetViews>
  <sheetFormatPr defaultColWidth="24.88671875" defaultRowHeight="23.4" customHeight="1" x14ac:dyDescent="0.3"/>
  <cols>
    <col min="6" max="6" width="15.6640625" bestFit="1" customWidth="1"/>
    <col min="7" max="7" width="14.21875" bestFit="1" customWidth="1"/>
    <col min="8" max="8" width="15" bestFit="1" customWidth="1"/>
    <col min="9" max="9" width="19.6640625" bestFit="1" customWidth="1"/>
  </cols>
  <sheetData>
    <row r="1" spans="1:10" ht="23.4" customHeight="1" x14ac:dyDescent="0.3">
      <c r="A1" s="24" t="s">
        <v>0</v>
      </c>
    </row>
    <row r="2" spans="1:10" ht="23.4" customHeight="1" thickBot="1" x14ac:dyDescent="0.35">
      <c r="A2" s="1" t="s">
        <v>1</v>
      </c>
    </row>
    <row r="3" spans="1:10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105</v>
      </c>
      <c r="G3" t="s">
        <v>20</v>
      </c>
      <c r="H3" t="s">
        <v>23</v>
      </c>
      <c r="I3" t="s">
        <v>24</v>
      </c>
      <c r="J3" t="s">
        <v>108</v>
      </c>
    </row>
    <row r="4" spans="1:10" ht="23.4" customHeight="1" x14ac:dyDescent="0.3">
      <c r="A4" s="4" t="s">
        <v>44</v>
      </c>
      <c r="B4" s="5" t="s">
        <v>45</v>
      </c>
      <c r="C4" s="6" t="s">
        <v>9</v>
      </c>
      <c r="D4" s="6" t="s">
        <v>10</v>
      </c>
      <c r="E4" s="25" t="s">
        <v>8</v>
      </c>
      <c r="F4" s="7">
        <v>5</v>
      </c>
      <c r="G4">
        <v>5</v>
      </c>
      <c r="H4">
        <v>5</v>
      </c>
      <c r="I4">
        <v>5</v>
      </c>
    </row>
    <row r="5" spans="1:10" ht="23.4" customHeight="1" x14ac:dyDescent="0.3">
      <c r="A5" s="4" t="s">
        <v>46</v>
      </c>
      <c r="B5" s="5" t="s">
        <v>47</v>
      </c>
      <c r="C5" s="6" t="s">
        <v>9</v>
      </c>
      <c r="D5" s="6" t="s">
        <v>10</v>
      </c>
      <c r="E5" s="25" t="s">
        <v>8</v>
      </c>
      <c r="F5" s="7">
        <v>2</v>
      </c>
      <c r="G5">
        <v>2</v>
      </c>
      <c r="H5">
        <v>2</v>
      </c>
      <c r="I5">
        <v>2</v>
      </c>
    </row>
    <row r="6" spans="1:10" ht="23.4" customHeight="1" x14ac:dyDescent="0.3">
      <c r="A6" s="4" t="s">
        <v>48</v>
      </c>
      <c r="B6" s="5" t="s">
        <v>49</v>
      </c>
      <c r="C6" s="6" t="s">
        <v>9</v>
      </c>
      <c r="D6" s="6" t="s">
        <v>10</v>
      </c>
      <c r="E6" s="25" t="s">
        <v>8</v>
      </c>
      <c r="F6" s="7">
        <v>3</v>
      </c>
      <c r="G6">
        <v>3</v>
      </c>
      <c r="H6">
        <v>3</v>
      </c>
      <c r="I6">
        <v>3</v>
      </c>
    </row>
    <row r="7" spans="1:10" ht="23.4" customHeight="1" x14ac:dyDescent="0.3">
      <c r="A7" s="4" t="s">
        <v>50</v>
      </c>
      <c r="B7" s="5" t="s">
        <v>51</v>
      </c>
      <c r="C7" s="6" t="s">
        <v>9</v>
      </c>
      <c r="D7" s="6" t="s">
        <v>10</v>
      </c>
      <c r="E7" s="25" t="s">
        <v>8</v>
      </c>
      <c r="F7" s="7">
        <v>1</v>
      </c>
      <c r="G7">
        <v>1</v>
      </c>
      <c r="H7">
        <v>1</v>
      </c>
      <c r="I7">
        <v>1</v>
      </c>
    </row>
    <row r="8" spans="1:10" ht="23.4" customHeight="1" x14ac:dyDescent="0.3">
      <c r="A8" s="4" t="s">
        <v>52</v>
      </c>
      <c r="B8" s="5" t="s">
        <v>53</v>
      </c>
      <c r="C8" s="6" t="s">
        <v>9</v>
      </c>
      <c r="D8" s="6" t="s">
        <v>10</v>
      </c>
      <c r="E8" s="25" t="s">
        <v>8</v>
      </c>
      <c r="F8" s="7">
        <v>3</v>
      </c>
      <c r="G8">
        <v>3</v>
      </c>
      <c r="H8">
        <v>3</v>
      </c>
      <c r="I8">
        <v>3</v>
      </c>
    </row>
    <row r="9" spans="1:10" ht="23.4" customHeight="1" x14ac:dyDescent="0.3">
      <c r="A9" s="4" t="s">
        <v>54</v>
      </c>
      <c r="B9" s="5" t="s">
        <v>55</v>
      </c>
      <c r="C9" s="6" t="s">
        <v>9</v>
      </c>
      <c r="D9" s="6" t="s">
        <v>10</v>
      </c>
      <c r="E9" s="25" t="s">
        <v>8</v>
      </c>
      <c r="F9" s="7">
        <v>3</v>
      </c>
      <c r="G9">
        <v>3</v>
      </c>
      <c r="H9">
        <v>3</v>
      </c>
      <c r="I9">
        <v>3</v>
      </c>
    </row>
    <row r="10" spans="1:10" ht="23.4" customHeight="1" x14ac:dyDescent="0.3">
      <c r="A10" s="4" t="s">
        <v>25</v>
      </c>
      <c r="B10" s="5" t="s">
        <v>16</v>
      </c>
      <c r="C10" s="6" t="s">
        <v>9</v>
      </c>
      <c r="D10" s="6" t="s">
        <v>10</v>
      </c>
      <c r="E10" s="25" t="s">
        <v>8</v>
      </c>
      <c r="F10" s="7">
        <v>3</v>
      </c>
      <c r="G10">
        <v>3</v>
      </c>
      <c r="H10">
        <v>3</v>
      </c>
      <c r="I10">
        <v>3</v>
      </c>
    </row>
    <row r="11" spans="1:10" ht="23.4" customHeight="1" x14ac:dyDescent="0.3">
      <c r="A11" s="4" t="s">
        <v>56</v>
      </c>
      <c r="B11" s="5" t="s">
        <v>57</v>
      </c>
      <c r="C11" s="6" t="s">
        <v>11</v>
      </c>
      <c r="D11" s="6" t="s">
        <v>10</v>
      </c>
      <c r="E11" s="25" t="s">
        <v>12</v>
      </c>
      <c r="F11" s="7">
        <v>1</v>
      </c>
      <c r="G11">
        <v>1</v>
      </c>
      <c r="H11">
        <v>1</v>
      </c>
      <c r="I11">
        <v>1</v>
      </c>
    </row>
    <row r="12" spans="1:10" ht="23.4" customHeight="1" x14ac:dyDescent="0.3">
      <c r="A12" s="4" t="s">
        <v>58</v>
      </c>
      <c r="B12" s="5" t="s">
        <v>59</v>
      </c>
      <c r="C12" s="6" t="s">
        <v>11</v>
      </c>
      <c r="D12" s="6" t="s">
        <v>10</v>
      </c>
      <c r="E12" s="25" t="s">
        <v>12</v>
      </c>
      <c r="F12" s="7">
        <v>1</v>
      </c>
      <c r="G12">
        <v>1</v>
      </c>
      <c r="H12">
        <v>1</v>
      </c>
      <c r="I12">
        <v>1</v>
      </c>
    </row>
    <row r="13" spans="1:10" ht="23.4" customHeight="1" x14ac:dyDescent="0.3">
      <c r="A13" s="4" t="s">
        <v>60</v>
      </c>
      <c r="B13" s="5" t="s">
        <v>61</v>
      </c>
      <c r="C13" s="6" t="s">
        <v>11</v>
      </c>
      <c r="D13" s="6" t="s">
        <v>10</v>
      </c>
      <c r="E13" s="25" t="s">
        <v>12</v>
      </c>
      <c r="F13" s="7">
        <v>1</v>
      </c>
      <c r="G13">
        <v>1</v>
      </c>
      <c r="H13">
        <v>1</v>
      </c>
      <c r="I13">
        <v>1</v>
      </c>
    </row>
    <row r="14" spans="1:10" ht="23.4" customHeight="1" x14ac:dyDescent="0.3">
      <c r="A14" s="4" t="s">
        <v>62</v>
      </c>
      <c r="B14" s="5" t="s">
        <v>63</v>
      </c>
      <c r="C14" s="6" t="s">
        <v>9</v>
      </c>
      <c r="D14" s="6" t="s">
        <v>10</v>
      </c>
      <c r="E14" s="25" t="s">
        <v>8</v>
      </c>
      <c r="F14" s="7">
        <v>1</v>
      </c>
      <c r="G14">
        <v>1</v>
      </c>
      <c r="H14">
        <v>1</v>
      </c>
      <c r="I14">
        <v>1</v>
      </c>
    </row>
    <row r="15" spans="1:10" ht="23.4" customHeight="1" x14ac:dyDescent="0.3">
      <c r="A15" s="4" t="s">
        <v>64</v>
      </c>
      <c r="B15" s="5" t="s">
        <v>65</v>
      </c>
      <c r="C15" s="6" t="s">
        <v>9</v>
      </c>
      <c r="D15" s="6" t="s">
        <v>10</v>
      </c>
      <c r="E15" s="25" t="s">
        <v>8</v>
      </c>
      <c r="F15" s="7">
        <v>2</v>
      </c>
      <c r="G15">
        <v>2</v>
      </c>
      <c r="H15">
        <v>2</v>
      </c>
      <c r="I15">
        <v>2</v>
      </c>
    </row>
    <row r="16" spans="1:10" ht="23.4" customHeight="1" x14ac:dyDescent="0.3">
      <c r="A16" s="4" t="s">
        <v>66</v>
      </c>
      <c r="B16" s="5" t="s">
        <v>67</v>
      </c>
      <c r="C16" s="6" t="s">
        <v>11</v>
      </c>
      <c r="D16" s="6" t="s">
        <v>10</v>
      </c>
      <c r="E16" s="25" t="s">
        <v>12</v>
      </c>
      <c r="F16" s="7">
        <v>5</v>
      </c>
      <c r="G16">
        <v>5</v>
      </c>
      <c r="H16">
        <v>5</v>
      </c>
      <c r="I16">
        <v>5</v>
      </c>
    </row>
    <row r="17" spans="1:10" ht="23.4" customHeight="1" x14ac:dyDescent="0.3">
      <c r="A17" s="4" t="s">
        <v>68</v>
      </c>
      <c r="B17" s="5" t="s">
        <v>69</v>
      </c>
      <c r="C17" s="6" t="s">
        <v>9</v>
      </c>
      <c r="D17" s="6" t="s">
        <v>10</v>
      </c>
      <c r="E17" s="25" t="s">
        <v>17</v>
      </c>
      <c r="F17" s="7">
        <v>1</v>
      </c>
      <c r="G17">
        <v>1</v>
      </c>
      <c r="H17">
        <v>1</v>
      </c>
      <c r="I17">
        <v>1</v>
      </c>
    </row>
    <row r="18" spans="1:10" ht="23.4" customHeight="1" x14ac:dyDescent="0.3">
      <c r="A18" s="4" t="s">
        <v>70</v>
      </c>
      <c r="B18" s="5" t="s">
        <v>71</v>
      </c>
      <c r="C18" s="6" t="s">
        <v>9</v>
      </c>
      <c r="D18" s="6" t="s">
        <v>10</v>
      </c>
      <c r="E18" s="25" t="s">
        <v>8</v>
      </c>
      <c r="F18" s="7">
        <v>3</v>
      </c>
      <c r="G18">
        <v>3</v>
      </c>
      <c r="H18">
        <v>3</v>
      </c>
      <c r="I18">
        <v>3</v>
      </c>
    </row>
    <row r="19" spans="1:10" ht="23.4" customHeight="1" x14ac:dyDescent="0.3">
      <c r="A19" s="4" t="s">
        <v>72</v>
      </c>
      <c r="B19" s="5" t="s">
        <v>73</v>
      </c>
      <c r="C19" s="6" t="s">
        <v>9</v>
      </c>
      <c r="D19" s="6" t="s">
        <v>10</v>
      </c>
      <c r="E19" s="25" t="s">
        <v>8</v>
      </c>
      <c r="F19" s="7">
        <v>1</v>
      </c>
      <c r="G19">
        <v>1</v>
      </c>
      <c r="H19">
        <v>1</v>
      </c>
      <c r="I19">
        <v>1</v>
      </c>
    </row>
    <row r="20" spans="1:10" ht="23.4" customHeight="1" x14ac:dyDescent="0.3">
      <c r="A20" s="4" t="s">
        <v>74</v>
      </c>
      <c r="B20" s="5" t="s">
        <v>75</v>
      </c>
      <c r="C20" s="6" t="s">
        <v>9</v>
      </c>
      <c r="D20" s="6" t="s">
        <v>10</v>
      </c>
      <c r="E20" s="25" t="s">
        <v>17</v>
      </c>
      <c r="F20" s="7">
        <v>1</v>
      </c>
      <c r="G20">
        <v>1</v>
      </c>
      <c r="H20">
        <v>1</v>
      </c>
      <c r="I20">
        <v>1</v>
      </c>
    </row>
    <row r="21" spans="1:10" ht="23.4" customHeight="1" x14ac:dyDescent="0.3">
      <c r="A21" s="4" t="s">
        <v>76</v>
      </c>
      <c r="B21" s="5" t="s">
        <v>77</v>
      </c>
      <c r="C21" s="6" t="s">
        <v>9</v>
      </c>
      <c r="D21" s="6" t="s">
        <v>10</v>
      </c>
      <c r="E21" s="25" t="s">
        <v>8</v>
      </c>
      <c r="F21" s="8" t="s">
        <v>106</v>
      </c>
      <c r="G21">
        <v>0</v>
      </c>
      <c r="H21">
        <v>2</v>
      </c>
      <c r="I21">
        <v>0</v>
      </c>
    </row>
    <row r="22" spans="1:10" ht="23.4" customHeight="1" x14ac:dyDescent="0.3">
      <c r="A22" s="4" t="s">
        <v>78</v>
      </c>
      <c r="B22" s="5" t="s">
        <v>79</v>
      </c>
      <c r="C22" s="6" t="s">
        <v>9</v>
      </c>
      <c r="D22" s="6" t="s">
        <v>10</v>
      </c>
      <c r="E22" s="25" t="s">
        <v>8</v>
      </c>
      <c r="F22" s="7">
        <v>2</v>
      </c>
      <c r="G22">
        <v>2</v>
      </c>
      <c r="H22">
        <v>2</v>
      </c>
      <c r="I22">
        <v>2</v>
      </c>
    </row>
    <row r="23" spans="1:10" ht="23.4" customHeight="1" x14ac:dyDescent="0.3">
      <c r="A23" s="4" t="s">
        <v>80</v>
      </c>
      <c r="B23" s="5" t="s">
        <v>81</v>
      </c>
      <c r="C23" s="6" t="s">
        <v>9</v>
      </c>
      <c r="D23" s="6" t="s">
        <v>10</v>
      </c>
      <c r="E23" s="25" t="s">
        <v>8</v>
      </c>
      <c r="F23" s="7">
        <v>2</v>
      </c>
      <c r="G23">
        <v>2</v>
      </c>
      <c r="H23">
        <v>2</v>
      </c>
      <c r="I23">
        <v>2</v>
      </c>
    </row>
    <row r="24" spans="1:10" ht="23.4" customHeight="1" x14ac:dyDescent="0.3">
      <c r="A24" s="4" t="s">
        <v>82</v>
      </c>
      <c r="B24" s="5" t="s">
        <v>83</v>
      </c>
      <c r="C24" s="6" t="s">
        <v>9</v>
      </c>
      <c r="D24" s="6" t="s">
        <v>10</v>
      </c>
      <c r="E24" s="25" t="s">
        <v>8</v>
      </c>
      <c r="F24" s="7">
        <v>3</v>
      </c>
      <c r="G24">
        <v>3</v>
      </c>
      <c r="H24">
        <v>3</v>
      </c>
      <c r="I24">
        <v>3</v>
      </c>
    </row>
    <row r="25" spans="1:10" ht="23.4" customHeight="1" x14ac:dyDescent="0.3">
      <c r="A25" s="26" t="s">
        <v>84</v>
      </c>
      <c r="B25" s="27" t="s">
        <v>85</v>
      </c>
      <c r="C25" s="28" t="s">
        <v>11</v>
      </c>
      <c r="D25" s="28" t="s">
        <v>10</v>
      </c>
      <c r="E25" s="29" t="s">
        <v>12</v>
      </c>
      <c r="F25" s="30">
        <v>5</v>
      </c>
      <c r="G25">
        <v>5</v>
      </c>
      <c r="H25">
        <v>5</v>
      </c>
      <c r="I25">
        <v>5</v>
      </c>
    </row>
    <row r="26" spans="1:10" ht="23.4" customHeight="1" x14ac:dyDescent="0.3">
      <c r="A26" s="4" t="s">
        <v>86</v>
      </c>
      <c r="B26" s="5" t="s">
        <v>87</v>
      </c>
      <c r="C26" s="6" t="s">
        <v>11</v>
      </c>
      <c r="D26" s="6" t="s">
        <v>10</v>
      </c>
      <c r="E26" s="25" t="s">
        <v>12</v>
      </c>
      <c r="F26" s="7">
        <v>2</v>
      </c>
      <c r="G26">
        <v>2</v>
      </c>
      <c r="H26">
        <v>2</v>
      </c>
      <c r="I26">
        <v>2</v>
      </c>
    </row>
    <row r="27" spans="1:10" ht="23.4" customHeight="1" x14ac:dyDescent="0.3">
      <c r="A27" s="4" t="s">
        <v>88</v>
      </c>
      <c r="B27" s="5" t="s">
        <v>89</v>
      </c>
      <c r="C27" s="6" t="s">
        <v>7</v>
      </c>
      <c r="D27" s="6" t="s">
        <v>90</v>
      </c>
      <c r="E27" s="25" t="s">
        <v>8</v>
      </c>
      <c r="F27" s="7">
        <v>5</v>
      </c>
      <c r="G27">
        <v>5</v>
      </c>
      <c r="H27">
        <v>5</v>
      </c>
      <c r="I27">
        <v>5</v>
      </c>
    </row>
    <row r="28" spans="1:10" ht="23.4" customHeight="1" x14ac:dyDescent="0.3">
      <c r="A28" s="4" t="s">
        <v>91</v>
      </c>
      <c r="B28" s="5" t="s">
        <v>92</v>
      </c>
      <c r="C28" s="6" t="s">
        <v>9</v>
      </c>
      <c r="D28" s="6" t="s">
        <v>10</v>
      </c>
      <c r="E28" s="25" t="s">
        <v>8</v>
      </c>
      <c r="F28" s="7">
        <v>2</v>
      </c>
      <c r="G28">
        <v>2</v>
      </c>
      <c r="H28">
        <v>2</v>
      </c>
      <c r="I28">
        <v>2</v>
      </c>
    </row>
    <row r="29" spans="1:10" ht="23.4" customHeight="1" x14ac:dyDescent="0.3">
      <c r="A29" s="4" t="s">
        <v>93</v>
      </c>
      <c r="B29" s="5" t="s">
        <v>94</v>
      </c>
      <c r="C29" s="6" t="s">
        <v>11</v>
      </c>
      <c r="D29" s="6" t="s">
        <v>10</v>
      </c>
      <c r="E29" s="25" t="s">
        <v>12</v>
      </c>
      <c r="F29" s="7">
        <v>1</v>
      </c>
      <c r="G29">
        <v>1</v>
      </c>
      <c r="H29">
        <v>1</v>
      </c>
      <c r="I29">
        <v>1</v>
      </c>
    </row>
    <row r="30" spans="1:10" ht="23.4" customHeight="1" x14ac:dyDescent="0.3">
      <c r="A30" s="4" t="s">
        <v>95</v>
      </c>
      <c r="B30" s="5" t="s">
        <v>96</v>
      </c>
      <c r="C30" s="6" t="s">
        <v>7</v>
      </c>
      <c r="D30" s="6" t="s">
        <v>18</v>
      </c>
      <c r="E30" s="25" t="s">
        <v>8</v>
      </c>
      <c r="F30" s="8" t="s">
        <v>32</v>
      </c>
      <c r="G30">
        <v>1</v>
      </c>
      <c r="H30">
        <v>0</v>
      </c>
      <c r="J30">
        <v>0</v>
      </c>
    </row>
    <row r="31" spans="1:10" ht="23.4" customHeight="1" x14ac:dyDescent="0.3">
      <c r="A31" s="9"/>
    </row>
    <row r="32" spans="1:10" ht="23.4" customHeight="1" x14ac:dyDescent="0.3">
      <c r="A32" s="9"/>
    </row>
    <row r="33" spans="1:10" ht="23.4" customHeight="1" x14ac:dyDescent="0.3">
      <c r="A33" s="24" t="s">
        <v>14</v>
      </c>
    </row>
    <row r="34" spans="1:10" ht="23.4" customHeight="1" thickBot="1" x14ac:dyDescent="0.35">
      <c r="A34" s="1" t="s">
        <v>1</v>
      </c>
    </row>
    <row r="35" spans="1:10" ht="23.4" customHeight="1" x14ac:dyDescent="0.3">
      <c r="A35" s="2" t="s">
        <v>2</v>
      </c>
      <c r="B35" s="2" t="s">
        <v>3</v>
      </c>
      <c r="C35" s="2" t="s">
        <v>4</v>
      </c>
      <c r="D35" s="2" t="s">
        <v>5</v>
      </c>
      <c r="E35" s="2" t="s">
        <v>6</v>
      </c>
      <c r="F35" s="3" t="s">
        <v>97</v>
      </c>
      <c r="H35" t="s">
        <v>22</v>
      </c>
    </row>
    <row r="36" spans="1:10" ht="23.4" customHeight="1" x14ac:dyDescent="0.3">
      <c r="A36" s="4" t="s">
        <v>98</v>
      </c>
      <c r="B36" s="5" t="s">
        <v>99</v>
      </c>
      <c r="C36" s="6" t="s">
        <v>11</v>
      </c>
      <c r="D36" s="6" t="s">
        <v>10</v>
      </c>
      <c r="E36" s="31" t="s">
        <v>15</v>
      </c>
      <c r="F36" s="7">
        <v>3</v>
      </c>
      <c r="H36">
        <v>3</v>
      </c>
    </row>
    <row r="37" spans="1:10" ht="23.4" customHeight="1" x14ac:dyDescent="0.3">
      <c r="A37" s="4" t="s">
        <v>100</v>
      </c>
      <c r="B37" s="5" t="s">
        <v>101</v>
      </c>
      <c r="C37" s="6" t="s">
        <v>7</v>
      </c>
      <c r="D37" s="6" t="s">
        <v>18</v>
      </c>
      <c r="E37" s="31" t="s">
        <v>15</v>
      </c>
      <c r="F37" s="7">
        <v>3</v>
      </c>
      <c r="H37">
        <v>3</v>
      </c>
      <c r="J37">
        <v>3</v>
      </c>
    </row>
    <row r="38" spans="1:10" ht="23.4" customHeight="1" x14ac:dyDescent="0.3">
      <c r="A38" s="9"/>
    </row>
    <row r="39" spans="1:10" ht="23.4" customHeight="1" x14ac:dyDescent="0.3">
      <c r="A39" s="9"/>
    </row>
    <row r="40" spans="1:10" ht="23.4" customHeight="1" x14ac:dyDescent="0.3">
      <c r="A40" s="24" t="s">
        <v>19</v>
      </c>
    </row>
    <row r="41" spans="1:10" ht="23.4" customHeight="1" thickBot="1" x14ac:dyDescent="0.35">
      <c r="A41" s="1" t="s">
        <v>1</v>
      </c>
    </row>
    <row r="42" spans="1:10" ht="23.4" customHeight="1" x14ac:dyDescent="0.3">
      <c r="A42" s="2" t="s">
        <v>2</v>
      </c>
      <c r="B42" s="2" t="s">
        <v>3</v>
      </c>
      <c r="C42" s="2" t="s">
        <v>4</v>
      </c>
      <c r="D42" s="2" t="s">
        <v>5</v>
      </c>
      <c r="E42" s="2" t="s">
        <v>6</v>
      </c>
      <c r="F42" s="3" t="s">
        <v>107</v>
      </c>
    </row>
    <row r="43" spans="1:10" ht="23.4" customHeight="1" thickBot="1" x14ac:dyDescent="0.35">
      <c r="A43" s="4" t="s">
        <v>102</v>
      </c>
      <c r="B43" s="5" t="s">
        <v>103</v>
      </c>
      <c r="C43" s="6" t="s">
        <v>13</v>
      </c>
      <c r="D43" s="6" t="s">
        <v>10</v>
      </c>
      <c r="E43" s="32" t="s">
        <v>104</v>
      </c>
      <c r="F43" s="8" t="s">
        <v>32</v>
      </c>
    </row>
    <row r="44" spans="1:10" ht="23.4" customHeight="1" x14ac:dyDescent="0.3">
      <c r="A44" s="2"/>
      <c r="B44" s="2"/>
      <c r="C44" s="2"/>
      <c r="D44" s="2"/>
      <c r="E44" s="2"/>
      <c r="F44" s="3"/>
    </row>
    <row r="45" spans="1:10" ht="23.4" customHeight="1" x14ac:dyDescent="0.3">
      <c r="A45" s="4"/>
      <c r="B45" s="5"/>
      <c r="C45" s="6"/>
      <c r="D45" s="6"/>
      <c r="E45" s="11"/>
      <c r="F45" s="7"/>
    </row>
    <row r="46" spans="1:10" ht="23.4" customHeight="1" x14ac:dyDescent="0.3">
      <c r="A46" s="4"/>
      <c r="B46" s="5"/>
      <c r="C46" s="6"/>
      <c r="D46" s="6"/>
      <c r="E46" s="12"/>
      <c r="F46" s="8"/>
    </row>
    <row r="47" spans="1:10" ht="23.4" customHeight="1" x14ac:dyDescent="0.3">
      <c r="A47" s="9"/>
    </row>
    <row r="48" spans="1:10" ht="23.4" customHeight="1" x14ac:dyDescent="0.3">
      <c r="A48" s="9"/>
    </row>
    <row r="49" spans="1:6" ht="23.4" customHeight="1" x14ac:dyDescent="0.3">
      <c r="A49" s="10"/>
    </row>
    <row r="50" spans="1:6" ht="23.4" customHeight="1" thickBot="1" x14ac:dyDescent="0.35">
      <c r="A50" s="1"/>
    </row>
    <row r="51" spans="1:6" ht="23.4" customHeight="1" x14ac:dyDescent="0.3">
      <c r="A51" s="2"/>
      <c r="B51" s="2"/>
      <c r="C51" s="2"/>
      <c r="D51" s="2"/>
      <c r="E51" s="2"/>
      <c r="F51" s="3"/>
    </row>
    <row r="52" spans="1:6" ht="23.4" customHeight="1" x14ac:dyDescent="0.3">
      <c r="A52" s="4"/>
      <c r="B52" s="5"/>
      <c r="C52" s="6"/>
      <c r="D52" s="6"/>
      <c r="E52" s="11"/>
      <c r="F52" s="7"/>
    </row>
  </sheetData>
  <hyperlinks>
    <hyperlink ref="A2" r:id="rId1" display="https://maritzcx.atlassian.net/issues/?jql=issueKey%20in%20(BD-30292%2CBD-30338%2CBD-30345%2CBD-30346%2CBD-31347%2CBD-31487%2CBD-32487%2CBD-32873%2CBD-32874%2CBD-32875%2CBD-33222%2CBD-34019%2CBD-34539%2CBD-34548%2CBD-34594%2CBD-34641%2CBD-34781%2CBD-34803%2CBD-34814%2CBD-34815%2CBD-34823%2CBD-35001%2CBD-35033%2CBD-35075%2CBD-35076%2CBD-35243%2CBD-35658)"/>
    <hyperlink ref="A4" r:id="rId2" display="https://maritzcx.atlassian.net/browse/BD-30292"/>
    <hyperlink ref="A5" r:id="rId3" display="https://maritzcx.atlassian.net/browse/BD-30338"/>
    <hyperlink ref="A6" r:id="rId4" display="https://maritzcx.atlassian.net/browse/BD-30345"/>
    <hyperlink ref="A7" r:id="rId5" display="https://maritzcx.atlassian.net/browse/BD-30346"/>
    <hyperlink ref="A8" r:id="rId6" display="https://maritzcx.atlassian.net/browse/BD-31347"/>
    <hyperlink ref="A9" r:id="rId7" display="https://maritzcx.atlassian.net/browse/BD-31487"/>
    <hyperlink ref="A10" r:id="rId8" display="https://maritzcx.atlassian.net/browse/BD-32487"/>
    <hyperlink ref="A11" r:id="rId9" display="https://maritzcx.atlassian.net/browse/BD-32873"/>
    <hyperlink ref="A12" r:id="rId10" display="https://maritzcx.atlassian.net/browse/BD-32874"/>
    <hyperlink ref="A13" r:id="rId11" display="https://maritzcx.atlassian.net/browse/BD-32875"/>
    <hyperlink ref="A14" r:id="rId12" display="https://maritzcx.atlassian.net/browse/BD-33222"/>
    <hyperlink ref="A15" r:id="rId13" display="https://maritzcx.atlassian.net/browse/BD-34019"/>
    <hyperlink ref="A16" r:id="rId14" display="https://maritzcx.atlassian.net/browse/BD-34539"/>
    <hyperlink ref="A17" r:id="rId15" display="https://maritzcx.atlassian.net/browse/BD-34548"/>
    <hyperlink ref="A18" r:id="rId16" display="https://maritzcx.atlassian.net/browse/BD-34594"/>
    <hyperlink ref="A19" r:id="rId17" display="https://maritzcx.atlassian.net/browse/BD-34641"/>
    <hyperlink ref="A20" r:id="rId18" display="https://maritzcx.atlassian.net/browse/BD-34781"/>
    <hyperlink ref="A21" r:id="rId19" display="https://maritzcx.atlassian.net/browse/BD-34803"/>
    <hyperlink ref="A22" r:id="rId20" display="https://maritzcx.atlassian.net/browse/BD-34814"/>
    <hyperlink ref="A23" r:id="rId21" display="https://maritzcx.atlassian.net/browse/BD-34815"/>
    <hyperlink ref="A24" r:id="rId22" display="https://maritzcx.atlassian.net/browse/BD-34823"/>
    <hyperlink ref="A25" r:id="rId23" display="https://maritzcx.atlassian.net/browse/BD-35001"/>
    <hyperlink ref="A26" r:id="rId24" display="https://maritzcx.atlassian.net/browse/BD-35033"/>
    <hyperlink ref="A27" r:id="rId25" display="https://maritzcx.atlassian.net/browse/BD-35075"/>
    <hyperlink ref="A28" r:id="rId26" display="https://maritzcx.atlassian.net/browse/BD-35076"/>
    <hyperlink ref="A29" r:id="rId27" display="https://maritzcx.atlassian.net/browse/BD-35243"/>
    <hyperlink ref="A30" r:id="rId28" display="https://maritzcx.atlassian.net/browse/BD-35658"/>
    <hyperlink ref="A34" r:id="rId29" display="https://maritzcx.atlassian.net/issues/?jql=issueKey%20in%20(BD-35244%2CBD-35686)"/>
    <hyperlink ref="A36" r:id="rId30" display="https://maritzcx.atlassian.net/browse/BD-35244"/>
    <hyperlink ref="A37" r:id="rId31" display="https://maritzcx.atlassian.net/browse/BD-35686"/>
    <hyperlink ref="A41" r:id="rId32" display="https://maritzcx.atlassian.net/issues/?jql=issueKey%20in%20(BD-35382)"/>
    <hyperlink ref="A43" r:id="rId33" display="https://maritzcx.atlassian.net/browse/BD-3538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11"/>
  <sheetViews>
    <sheetView tabSelected="1" workbookViewId="0">
      <selection activeCell="E19" sqref="E19"/>
    </sheetView>
  </sheetViews>
  <sheetFormatPr defaultColWidth="18.5546875" defaultRowHeight="18" x14ac:dyDescent="0.35"/>
  <cols>
    <col min="1" max="1" width="29.77734375" style="22" bestFit="1" customWidth="1"/>
    <col min="2" max="2" width="16" style="22" customWidth="1"/>
    <col min="3" max="3" width="17.88671875" style="22" customWidth="1"/>
    <col min="4" max="4" width="35.6640625" style="22" bestFit="1" customWidth="1"/>
    <col min="5" max="5" width="21.88671875" style="22" customWidth="1"/>
    <col min="6" max="6" width="24.33203125" style="22" customWidth="1"/>
    <col min="7" max="7" width="15.21875" style="22" bestFit="1" customWidth="1"/>
    <col min="8" max="16384" width="18.5546875" style="22"/>
  </cols>
  <sheetData>
    <row r="1" spans="1:7" ht="35.4" thickBot="1" x14ac:dyDescent="0.4">
      <c r="A1" s="17" t="s">
        <v>26</v>
      </c>
      <c r="B1" s="18" t="s">
        <v>24</v>
      </c>
      <c r="C1" s="18" t="s">
        <v>27</v>
      </c>
      <c r="D1" s="18" t="s">
        <v>21</v>
      </c>
      <c r="E1" s="18" t="s">
        <v>28</v>
      </c>
      <c r="F1" s="18" t="s">
        <v>29</v>
      </c>
      <c r="G1" s="18" t="s">
        <v>30</v>
      </c>
    </row>
    <row r="2" spans="1:7" ht="18.600000000000001" thickBot="1" x14ac:dyDescent="0.4">
      <c r="A2" s="19">
        <v>64</v>
      </c>
      <c r="B2" s="20">
        <v>59</v>
      </c>
      <c r="C2" s="21">
        <f>B2/A2</f>
        <v>0.921875</v>
      </c>
      <c r="D2" s="20">
        <v>60</v>
      </c>
      <c r="E2" s="21">
        <f>D2/A2</f>
        <v>0.9375</v>
      </c>
      <c r="F2" s="15">
        <v>38</v>
      </c>
      <c r="G2" s="15">
        <v>6</v>
      </c>
    </row>
    <row r="4" spans="1:7" x14ac:dyDescent="0.35">
      <c r="A4" s="37" t="s">
        <v>31</v>
      </c>
      <c r="B4" s="35"/>
      <c r="C4" s="35"/>
      <c r="D4" s="35"/>
      <c r="E4" s="35"/>
      <c r="F4" s="35"/>
      <c r="G4" s="35"/>
    </row>
    <row r="5" spans="1:7" x14ac:dyDescent="0.35">
      <c r="A5" s="38"/>
      <c r="B5" s="36"/>
      <c r="C5" s="36"/>
      <c r="D5" s="36"/>
      <c r="E5" s="36"/>
      <c r="F5" s="36"/>
      <c r="G5" s="36"/>
    </row>
    <row r="7" spans="1:7" x14ac:dyDescent="0.35">
      <c r="A7" s="23" t="s">
        <v>9</v>
      </c>
      <c r="B7" s="15">
        <v>18</v>
      </c>
      <c r="D7" s="23" t="s">
        <v>23</v>
      </c>
      <c r="E7" s="15">
        <v>64</v>
      </c>
    </row>
    <row r="8" spans="1:7" x14ac:dyDescent="0.35">
      <c r="A8" s="23" t="s">
        <v>7</v>
      </c>
      <c r="B8" s="15">
        <v>3</v>
      </c>
      <c r="D8" s="23" t="s">
        <v>24</v>
      </c>
      <c r="E8" s="15">
        <v>59</v>
      </c>
    </row>
    <row r="9" spans="1:7" x14ac:dyDescent="0.35">
      <c r="A9" s="23" t="s">
        <v>11</v>
      </c>
      <c r="B9" s="15">
        <v>8</v>
      </c>
      <c r="D9" s="23" t="s">
        <v>21</v>
      </c>
      <c r="E9" s="15">
        <v>60</v>
      </c>
    </row>
    <row r="10" spans="1:7" x14ac:dyDescent="0.35">
      <c r="A10" s="23" t="s">
        <v>13</v>
      </c>
      <c r="B10" s="15">
        <v>1</v>
      </c>
      <c r="D10" s="23" t="s">
        <v>22</v>
      </c>
      <c r="E10" s="15">
        <v>6</v>
      </c>
    </row>
    <row r="11" spans="1:7" x14ac:dyDescent="0.35">
      <c r="A11" s="23" t="s">
        <v>108</v>
      </c>
      <c r="B11" s="15">
        <v>2</v>
      </c>
      <c r="D11" s="23" t="s">
        <v>109</v>
      </c>
      <c r="E11" s="15">
        <v>3</v>
      </c>
    </row>
  </sheetData>
  <mergeCells count="2">
    <mergeCell ref="B4:G5"/>
    <mergeCell ref="A4:A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2_Click">
                <anchor moveWithCells="1" sizeWithCells="1">
                  <from>
                    <xdr:col>2</xdr:col>
                    <xdr:colOff>693420</xdr:colOff>
                    <xdr:row>12</xdr:row>
                    <xdr:rowOff>91440</xdr:rowOff>
                  </from>
                  <to>
                    <xdr:col>3</xdr:col>
                    <xdr:colOff>739140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Sheet1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Jayraj Vahadane</dc:creator>
  <cp:lastModifiedBy>Jayraj Vahadane</cp:lastModifiedBy>
  <dcterms:created xsi:type="dcterms:W3CDTF">2018-09-07T11:39:18Z</dcterms:created>
  <dcterms:modified xsi:type="dcterms:W3CDTF">2018-09-19T14:57:08Z</dcterms:modified>
</cp:coreProperties>
</file>