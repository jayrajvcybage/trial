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ayrajv\Desktop\"/>
    </mc:Choice>
  </mc:AlternateContent>
  <bookViews>
    <workbookView xWindow="0" yWindow="0" windowWidth="23040" windowHeight="9216"/>
  </bookViews>
  <sheets>
    <sheet name="Sprint 16" sheetId="8" r:id="rId1"/>
    <sheet name="Sprint 17" sheetId="7" r:id="rId2"/>
    <sheet name="Sheet1" sheetId="5" r:id="rId3"/>
    <sheet name="Dashboard" sheetId="6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6" l="1"/>
  <c r="F2" i="6"/>
  <c r="E2" i="6"/>
  <c r="B2" i="6"/>
  <c r="C2" i="6" l="1"/>
  <c r="H2" i="5" l="1"/>
</calcChain>
</file>

<file path=xl/sharedStrings.xml><?xml version="1.0" encoding="utf-8"?>
<sst xmlns="http://schemas.openxmlformats.org/spreadsheetml/2006/main" count="680" uniqueCount="188">
  <si>
    <t>Completed Issues</t>
  </si>
  <si>
    <t>View in Issue Navigator</t>
  </si>
  <si>
    <t>Key</t>
  </si>
  <si>
    <t>Summary</t>
  </si>
  <si>
    <t>Issue Type</t>
  </si>
  <si>
    <t>Priority</t>
  </si>
  <si>
    <t>Status</t>
  </si>
  <si>
    <t>Bug</t>
  </si>
  <si>
    <t>Priority 3</t>
  </si>
  <si>
    <t>ACCEPTED</t>
  </si>
  <si>
    <t>Story</t>
  </si>
  <si>
    <t>None</t>
  </si>
  <si>
    <t>BD-30343</t>
  </si>
  <si>
    <t>NNA - E18014 - Add downloadable error log for Tampering Case Detail</t>
  </si>
  <si>
    <t>FCA- 120- Dealer Interference Indicator - Sprint 0</t>
  </si>
  <si>
    <t>CLOSED</t>
  </si>
  <si>
    <t>Task</t>
  </si>
  <si>
    <t>DONE</t>
  </si>
  <si>
    <t>BD-30444</t>
  </si>
  <si>
    <t>FCA- 90 Day- Index Scoring- Calculate Aggregate level Index score</t>
  </si>
  <si>
    <t>BD-32940</t>
  </si>
  <si>
    <t>FCA-120-Automate Pick-Up of Survey Interference File</t>
  </si>
  <si>
    <t>BD-33231</t>
  </si>
  <si>
    <t>FCA-90Day-Generate Feed for 2nd Reminder Exclusions 90 Day</t>
  </si>
  <si>
    <t>BD-33685</t>
  </si>
  <si>
    <t>NNA-Base-Investigate user permissions when new dealership is added</t>
  </si>
  <si>
    <t>FCA-90Day-Deploy BD-30224 Response Level Data Feed</t>
  </si>
  <si>
    <t>IN PRODUCTION</t>
  </si>
  <si>
    <t>Technical Debt</t>
  </si>
  <si>
    <t>NNA - BUG - Employee not loaded</t>
  </si>
  <si>
    <t>Priority 2</t>
  </si>
  <si>
    <t>NNA-BUG - Client unable to update filters in Corp Survey Summary</t>
  </si>
  <si>
    <t>Priority 0</t>
  </si>
  <si>
    <t>-</t>
  </si>
  <si>
    <t>Issues Not Completed</t>
  </si>
  <si>
    <t>IN PROGRESS</t>
  </si>
  <si>
    <t>NNA-Base-Investigate Sample Processing Test Seeds</t>
  </si>
  <si>
    <t>BD-30224</t>
  </si>
  <si>
    <t>FCA-90Day-2018Q2- Platform Response Level Data Feed</t>
  </si>
  <si>
    <t>BD-30336</t>
  </si>
  <si>
    <t>NNA - E18014 Change default settings on Tampering case appeal page</t>
  </si>
  <si>
    <t>BD-30344</t>
  </si>
  <si>
    <t>NNA - E18014 - Allow recode assignments for deactivated dealers</t>
  </si>
  <si>
    <t>BD-30442</t>
  </si>
  <si>
    <t>FCA- 90 Day- Index Scoring- Plug-in index scoring into the return process</t>
  </si>
  <si>
    <t>BD-30619</t>
  </si>
  <si>
    <t>NNA-MRC4865-Exports Sched-99 - Launch report to production - August 13</t>
  </si>
  <si>
    <t>BD-32101 *</t>
  </si>
  <si>
    <t>FCA -Base- Disable Zena Job</t>
  </si>
  <si>
    <t>BD-32550</t>
  </si>
  <si>
    <t>NNA-Base-Update Detached Excel Export Engine to HTTPS</t>
  </si>
  <si>
    <t>BD-32753</t>
  </si>
  <si>
    <t>FCA- Create Aged Out File for 90 Day</t>
  </si>
  <si>
    <t>BD-32941</t>
  </si>
  <si>
    <t>FCA-120-Import Data from Survey Interference File</t>
  </si>
  <si>
    <t>READY FOR RELEASE</t>
  </si>
  <si>
    <t>BD-32942</t>
  </si>
  <si>
    <t>FCA-120-Include Survey Interference Data in Scoring Procs</t>
  </si>
  <si>
    <t>BD-32944</t>
  </si>
  <si>
    <t>FCA-120-Display Survey Interference Records on Web</t>
  </si>
  <si>
    <t>BD-32945</t>
  </si>
  <si>
    <t>FCA-120-Create Link on DealerConnect and FieldConnect for Survey Interference Doc</t>
  </si>
  <si>
    <t>BD-33167</t>
  </si>
  <si>
    <t>NNA-Quote- E17153 - Adding Best Practice and Spark Trend Charting to KPI reporting</t>
  </si>
  <si>
    <t>BD-33336</t>
  </si>
  <si>
    <t>Case IH-C007-Add Closed Alerts to Quadrant 1 Quote</t>
  </si>
  <si>
    <t>BD-33341</t>
  </si>
  <si>
    <t>NNA - E18014 - Add Tampering Letter distribution to BCC Tampering Inbox</t>
  </si>
  <si>
    <t>CLIENT APPROVED</t>
  </si>
  <si>
    <t>BD-33489</t>
  </si>
  <si>
    <t>BUFFER - Sprint 16</t>
  </si>
  <si>
    <t>BD-33537</t>
  </si>
  <si>
    <t>CASEIH-WebScan-Insecure Transport (vuln ID 4722)- Deploy to Stage</t>
  </si>
  <si>
    <t>BD-33553</t>
  </si>
  <si>
    <t>NNA-BUG- Newswire on UAT not working</t>
  </si>
  <si>
    <t>BD-33556</t>
  </si>
  <si>
    <t>NNA-Update Unwind Record</t>
  </si>
  <si>
    <t>BD-33694 *</t>
  </si>
  <si>
    <t>Case IH-C006-Analyze/Test Alert Closure Summary Report Changes</t>
  </si>
  <si>
    <t>BD-33704</t>
  </si>
  <si>
    <t>FCA-Base-Investigate Horizontal VIN load delay/regenerate file</t>
  </si>
  <si>
    <t>Priority 1</t>
  </si>
  <si>
    <t>BD-33782</t>
  </si>
  <si>
    <t>FCA-BUG-Web Reports Error message</t>
  </si>
  <si>
    <t>BD-33791 *</t>
  </si>
  <si>
    <t>FCA-120-Performance Impact Changes- Release to Prod</t>
  </si>
  <si>
    <t>BD-33896 *</t>
  </si>
  <si>
    <t>FCA-120- "GOAL" part of deployment of Performance Impact</t>
  </si>
  <si>
    <t>BD-33969 *</t>
  </si>
  <si>
    <t>FCA-120-Reporting Site Changes- Add footer text to Customer Management Report</t>
  </si>
  <si>
    <t>BD-34225 *</t>
  </si>
  <si>
    <t>NNA-Bug-Investigate Cube Issues</t>
  </si>
  <si>
    <t>BD-34307 *</t>
  </si>
  <si>
    <t>FCA - 90 Day Returns Showing on Production Custom Site</t>
  </si>
  <si>
    <t>BD-34354 *</t>
  </si>
  <si>
    <t>Next sprint issue analysis and misc tasks</t>
  </si>
  <si>
    <t>BD-30433 *</t>
  </si>
  <si>
    <t>READY FOR DEVELOPMENT</t>
  </si>
  <si>
    <t>BD-32487 *</t>
  </si>
  <si>
    <t>BD-33790 *</t>
  </si>
  <si>
    <t>BD-34214 *</t>
  </si>
  <si>
    <t>BD-34306 *</t>
  </si>
  <si>
    <t>Story Points (41 # 47)</t>
  </si>
  <si>
    <t>- # 1</t>
  </si>
  <si>
    <t>- # 2</t>
  </si>
  <si>
    <t>- # 5</t>
  </si>
  <si>
    <t>5 # 0</t>
  </si>
  <si>
    <t>Story Points (17 # 22)</t>
  </si>
  <si>
    <r>
      <t>Story Points (</t>
    </r>
    <r>
      <rPr>
        <b/>
        <sz val="8"/>
        <color rgb="FF707070"/>
        <rFont val="Segoe UI"/>
        <family val="2"/>
      </rPr>
      <t>41 → </t>
    </r>
    <r>
      <rPr>
        <b/>
        <sz val="8"/>
        <color rgb="FF6C798F"/>
        <rFont val="Segoe UI"/>
        <family val="2"/>
      </rPr>
      <t>47)</t>
    </r>
  </si>
  <si>
    <r>
      <t>5 → </t>
    </r>
    <r>
      <rPr>
        <sz val="8"/>
        <color rgb="FF333333"/>
        <rFont val="Segoe UI"/>
        <family val="2"/>
      </rPr>
      <t>0</t>
    </r>
  </si>
  <si>
    <r>
      <t>- → </t>
    </r>
    <r>
      <rPr>
        <sz val="8"/>
        <color rgb="FF333333"/>
        <rFont val="Segoe UI"/>
        <family val="2"/>
      </rPr>
      <t>5</t>
    </r>
  </si>
  <si>
    <r>
      <t>- → </t>
    </r>
    <r>
      <rPr>
        <sz val="8"/>
        <color rgb="FF333333"/>
        <rFont val="Segoe UI"/>
        <family val="2"/>
      </rPr>
      <t>1</t>
    </r>
  </si>
  <si>
    <r>
      <t>- → </t>
    </r>
    <r>
      <rPr>
        <sz val="8"/>
        <color rgb="FF333333"/>
        <rFont val="Segoe UI"/>
        <family val="2"/>
      </rPr>
      <t>2</t>
    </r>
  </si>
  <si>
    <r>
      <t>Story Points (</t>
    </r>
    <r>
      <rPr>
        <b/>
        <sz val="8"/>
        <color rgb="FF707070"/>
        <rFont val="Segoe UI"/>
        <family val="2"/>
      </rPr>
      <t>17 → </t>
    </r>
    <r>
      <rPr>
        <b/>
        <sz val="8"/>
        <color rgb="FF6C798F"/>
        <rFont val="Segoe UI"/>
        <family val="2"/>
      </rPr>
      <t>22)</t>
    </r>
  </si>
  <si>
    <t>Issues Removed From Sprint</t>
  </si>
  <si>
    <t>Story Points (-)</t>
  </si>
  <si>
    <t>BD-34203 *</t>
  </si>
  <si>
    <t>NNA - BUG - MRC4865 - Excel Scheduler</t>
  </si>
  <si>
    <t>CANCELLED</t>
  </si>
  <si>
    <t>Final Completed</t>
  </si>
  <si>
    <t>Total Completed</t>
  </si>
  <si>
    <t>Total Incomplete</t>
  </si>
  <si>
    <t>Total Committed</t>
  </si>
  <si>
    <t>Committed Completed</t>
  </si>
  <si>
    <r>
      <t>Story Points (</t>
    </r>
    <r>
      <rPr>
        <b/>
        <sz val="8"/>
        <color rgb="FF707070"/>
        <rFont val="Segoe UI"/>
        <family val="2"/>
      </rPr>
      <t>69 → </t>
    </r>
    <r>
      <rPr>
        <b/>
        <sz val="8"/>
        <color rgb="FF6C798F"/>
        <rFont val="Segoe UI"/>
        <family val="2"/>
      </rPr>
      <t>71)</t>
    </r>
  </si>
  <si>
    <t>BD-30254</t>
  </si>
  <si>
    <t>FCA-Base-Admin News Styling Not Applying</t>
  </si>
  <si>
    <t>BD-30291</t>
  </si>
  <si>
    <t>NNA-E17034-3a-Add Benchmark dropdown menu for dealer manager and non-manager (employee) users</t>
  </si>
  <si>
    <t>BD-30433</t>
  </si>
  <si>
    <t>BD-30436 *</t>
  </si>
  <si>
    <t>FCA- Base-Move Path for MONTHLY Horizontal VIN Detail Files</t>
  </si>
  <si>
    <t>BD-33587</t>
  </si>
  <si>
    <t>FCA - Platform - Create CDJRF Sales and Service hierarchies for the platform</t>
  </si>
  <si>
    <t>BD-33698</t>
  </si>
  <si>
    <t>NNA-17135-Allow Admin Users to Submit Appeals Anytime</t>
  </si>
  <si>
    <t>BD-33700</t>
  </si>
  <si>
    <t>NNA-17135-Alert Generation for Employee List</t>
  </si>
  <si>
    <t>BD-33702</t>
  </si>
  <si>
    <t>NNA-17135-Employee List Survey Request Appeal Access</t>
  </si>
  <si>
    <t>BD-33790</t>
  </si>
  <si>
    <t>BD-33904 *</t>
  </si>
  <si>
    <t>FCA-Base-Change Delivery Location of All FCA Seeds</t>
  </si>
  <si>
    <t>BD-33913</t>
  </si>
  <si>
    <t>FCA-90Day-Horizontal Feed Optimization</t>
  </si>
  <si>
    <t>BD-33983</t>
  </si>
  <si>
    <t>FCA-120-Deploy Dealer Interference Process to Prod- 8/20</t>
  </si>
  <si>
    <t>BD-34145</t>
  </si>
  <si>
    <t>NNA-E18003 – Update Autogroup Load Package CRLF Requirements</t>
  </si>
  <si>
    <t>BD-34214</t>
  </si>
  <si>
    <t>BD-34237</t>
  </si>
  <si>
    <t>NNA-Base – Update UAT cube</t>
  </si>
  <si>
    <t>BD-34238</t>
  </si>
  <si>
    <t>NNA-Base – Update Purge Process</t>
  </si>
  <si>
    <t>BD-34306</t>
  </si>
  <si>
    <t>BD-34357</t>
  </si>
  <si>
    <t>Case IH-C006-Launch Alert Closure Summary- Aug 21</t>
  </si>
  <si>
    <t>BD-34368</t>
  </si>
  <si>
    <t>FCA-90Day-Revision to 90 Day Feed File</t>
  </si>
  <si>
    <t>BD-34369</t>
  </si>
  <si>
    <t>NNA - E18074 - Tornado Damaged Vehicles - quote</t>
  </si>
  <si>
    <t>BD-34370</t>
  </si>
  <si>
    <t>BUFFER - Sprint 17</t>
  </si>
  <si>
    <t>BD-34546 *</t>
  </si>
  <si>
    <t>FCA-90Day-Change Column for DBA Name in 90 Day Response Level Data Feed</t>
  </si>
  <si>
    <t>BD-34559 *</t>
  </si>
  <si>
    <t>NNA - Add validations on "Add Document" functionality on "Tampering Case List" page when case is in "Open" state.</t>
  </si>
  <si>
    <r>
      <t>1 → </t>
    </r>
    <r>
      <rPr>
        <sz val="8"/>
        <color rgb="FF333333"/>
        <rFont val="Segoe UI"/>
        <family val="2"/>
      </rPr>
      <t>2</t>
    </r>
  </si>
  <si>
    <t>BD-34590 *</t>
  </si>
  <si>
    <t>CaseIH-C004-Alert Closure Summary French Translations</t>
  </si>
  <si>
    <t>BD-34719 *</t>
  </si>
  <si>
    <t>FCA - FieldConnect and Dealer Connect - News Item Testing Showing Live</t>
  </si>
  <si>
    <t>BD-34741 *</t>
  </si>
  <si>
    <t>NNA prod launch - 28August</t>
  </si>
  <si>
    <t>BD-34911 *</t>
  </si>
  <si>
    <t>Analyzing issues in next sprint and other unaccounted work</t>
  </si>
  <si>
    <t>Story Points (8)</t>
  </si>
  <si>
    <t>BD-31347</t>
  </si>
  <si>
    <t>CaseIH-C008-Update Monthly Quality Alert Email</t>
  </si>
  <si>
    <t>BD-32487</t>
  </si>
  <si>
    <t>BD-34019</t>
  </si>
  <si>
    <t>FCA-Base-Monthly Scoring and Off-Line Reports - 8/29</t>
  </si>
  <si>
    <t>Committed</t>
  </si>
  <si>
    <t>Acceptance Rate</t>
  </si>
  <si>
    <t>Completion Rate</t>
  </si>
  <si>
    <t>Delivered Value</t>
  </si>
  <si>
    <t>Bugs Fixed</t>
  </si>
  <si>
    <t>Buffer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</si>
</sst>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8"/>
      <color rgb="FF6C798F"/>
      <name val="Segoe UI"/>
      <family val="2"/>
    </font>
    <font>
      <sz val="8"/>
      <color rgb="FF333333"/>
      <name val="Segoe UI"/>
      <family val="2"/>
    </font>
    <font>
      <sz val="8"/>
      <color rgb="FF707070"/>
      <name val="Segoe UI"/>
      <family val="2"/>
    </font>
    <font>
      <u/>
      <sz val="11"/>
      <color theme="10"/>
      <name val="Calibri"/>
      <family val="2"/>
      <scheme val="minor"/>
    </font>
    <font>
      <sz val="10"/>
      <color rgb="FF172B4D"/>
      <name val="Segoe UI"/>
      <family val="2"/>
    </font>
    <font>
      <b/>
      <sz val="8"/>
      <color rgb="FF707070"/>
      <name val="Segoe UI"/>
      <family val="2"/>
    </font>
    <font>
      <sz val="7"/>
      <color rgb="FF00875A"/>
      <name val="Segoe UI"/>
      <family val="2"/>
    </font>
    <font>
      <sz val="7"/>
      <color rgb="FF0052CC"/>
      <name val="Segoe UI"/>
      <family val="2"/>
    </font>
    <font>
      <sz val="7"/>
      <color rgb="FF42526E"/>
      <name val="Segoe UI"/>
      <family val="2"/>
    </font>
    <font>
      <b/>
      <sz val="9"/>
      <color rgb="FF333333"/>
      <name val="Arial"/>
      <family val="2"/>
    </font>
    <font>
      <sz val="9"/>
      <color rgb="FF7F7F7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4F5F7"/>
        <bgColor indexed="64"/>
      </patternFill>
    </fill>
  </fills>
  <borders count="7">
    <border>
      <left/>
      <right/>
      <top/>
      <bottom/>
      <diagonal/>
    </border>
    <border>
      <left/>
      <right/>
      <top style="medium">
        <color rgb="FFCCCCCC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5">
    <xf numFmtId="0" fontId="0" fillId="0" borderId="0" xfId="0"/>
    <xf numFmtId="0" fontId="4" fillId="0" borderId="0" xfId="1" applyAlignment="1">
      <alignment vertical="top" wrapText="1" indent="1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right" vertical="top"/>
    </xf>
    <xf numFmtId="0" fontId="4" fillId="2" borderId="0" xfId="1" applyFill="1" applyAlignment="1">
      <alignment horizontal="left" vertical="top"/>
    </xf>
    <xf numFmtId="0" fontId="2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right" vertical="top"/>
    </xf>
    <xf numFmtId="0" fontId="3" fillId="2" borderId="0" xfId="0" applyFont="1" applyFill="1" applyAlignment="1">
      <alignment horizontal="right" vertical="top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 wrapText="1"/>
    </xf>
    <xf numFmtId="0" fontId="4" fillId="3" borderId="0" xfId="1" applyFill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0" fontId="2" fillId="3" borderId="0" xfId="0" applyFont="1" applyFill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0" fontId="8" fillId="2" borderId="0" xfId="0" applyFont="1" applyFill="1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8" fillId="3" borderId="0" xfId="0" applyFont="1" applyFill="1" applyAlignment="1">
      <alignment horizontal="left" vertical="top"/>
    </xf>
    <xf numFmtId="0" fontId="3" fillId="3" borderId="0" xfId="0" applyFont="1" applyFill="1" applyAlignment="1">
      <alignment horizontal="right" vertical="top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9" fontId="11" fillId="0" borderId="5" xfId="0" applyNumberFormat="1" applyFont="1" applyBorder="1" applyAlignment="1">
      <alignment horizontal="center" vertical="center" wrapText="1"/>
    </xf>
    <xf numFmtId="0" fontId="0" fillId="0" borderId="6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maritzcx.atlassian.net/browse/BD-32945" TargetMode="External"/><Relationship Id="rId18" Type="http://schemas.openxmlformats.org/officeDocument/2006/relationships/hyperlink" Target="https://maritzcx.atlassian.net/browse/BD-33537" TargetMode="External"/><Relationship Id="rId26" Type="http://schemas.openxmlformats.org/officeDocument/2006/relationships/hyperlink" Target="https://maritzcx.atlassian.net/browse/BD-33969" TargetMode="External"/><Relationship Id="rId39" Type="http://schemas.openxmlformats.org/officeDocument/2006/relationships/hyperlink" Target="https://maritzcx.atlassian.net/browse/BD-34214" TargetMode="External"/><Relationship Id="rId21" Type="http://schemas.openxmlformats.org/officeDocument/2006/relationships/hyperlink" Target="https://maritzcx.atlassian.net/browse/BD-33694" TargetMode="External"/><Relationship Id="rId34" Type="http://schemas.openxmlformats.org/officeDocument/2006/relationships/hyperlink" Target="https://maritzcx.atlassian.net/browse/BD-32487" TargetMode="External"/><Relationship Id="rId42" Type="http://schemas.openxmlformats.org/officeDocument/2006/relationships/hyperlink" Target="https://maritzcx.atlassian.net/browse/BD-34203" TargetMode="External"/><Relationship Id="rId7" Type="http://schemas.openxmlformats.org/officeDocument/2006/relationships/hyperlink" Target="https://maritzcx.atlassian.net/browse/BD-32101" TargetMode="External"/><Relationship Id="rId2" Type="http://schemas.openxmlformats.org/officeDocument/2006/relationships/hyperlink" Target="https://maritzcx.atlassian.net/browse/BD-30224" TargetMode="External"/><Relationship Id="rId16" Type="http://schemas.openxmlformats.org/officeDocument/2006/relationships/hyperlink" Target="https://maritzcx.atlassian.net/browse/BD-33341" TargetMode="External"/><Relationship Id="rId20" Type="http://schemas.openxmlformats.org/officeDocument/2006/relationships/hyperlink" Target="https://maritzcx.atlassian.net/browse/BD-33556" TargetMode="External"/><Relationship Id="rId29" Type="http://schemas.openxmlformats.org/officeDocument/2006/relationships/hyperlink" Target="https://maritzcx.atlassian.net/browse/BD-34354" TargetMode="External"/><Relationship Id="rId41" Type="http://schemas.openxmlformats.org/officeDocument/2006/relationships/hyperlink" Target="https://maritzcx.atlassian.net/issues/?jql=issueKey%20in%20(BD-34203)" TargetMode="External"/><Relationship Id="rId1" Type="http://schemas.openxmlformats.org/officeDocument/2006/relationships/hyperlink" Target="https://maritzcx.atlassian.net/issues/?jql=issueKey%20in%20(BD-30224%2CBD-30336%2CBD-30344%2CBD-30442%2CBD-30619%2CBD-32101%2CBD-32550%2CBD-32753%2CBD-32941%2CBD-32942%2CBD-32944%2CBD-32945%2CBD-33167%2CBD-33336%2CBD-33341%2CBD-33489%2CBD-33537%2CBD-33553%2CBD-33556%2CBD-33694%2CBD-33704%2CBD-33782%2CBD-33791%2CBD-33896%2CBD-33969%2CBD-34225%2CBD-34307%2CBD-34354)" TargetMode="External"/><Relationship Id="rId6" Type="http://schemas.openxmlformats.org/officeDocument/2006/relationships/hyperlink" Target="https://maritzcx.atlassian.net/browse/BD-30619" TargetMode="External"/><Relationship Id="rId11" Type="http://schemas.openxmlformats.org/officeDocument/2006/relationships/hyperlink" Target="https://maritzcx.atlassian.net/browse/BD-32942" TargetMode="External"/><Relationship Id="rId24" Type="http://schemas.openxmlformats.org/officeDocument/2006/relationships/hyperlink" Target="https://maritzcx.atlassian.net/browse/BD-33791" TargetMode="External"/><Relationship Id="rId32" Type="http://schemas.openxmlformats.org/officeDocument/2006/relationships/hyperlink" Target="https://maritzcx.atlassian.net/browse/BD-30433" TargetMode="External"/><Relationship Id="rId37" Type="http://schemas.openxmlformats.org/officeDocument/2006/relationships/hyperlink" Target="https://maritzcx.atlassian.net/browse/BD-33685" TargetMode="External"/><Relationship Id="rId40" Type="http://schemas.openxmlformats.org/officeDocument/2006/relationships/hyperlink" Target="https://maritzcx.atlassian.net/browse/BD-34306" TargetMode="External"/><Relationship Id="rId5" Type="http://schemas.openxmlformats.org/officeDocument/2006/relationships/hyperlink" Target="https://maritzcx.atlassian.net/browse/BD-30442" TargetMode="External"/><Relationship Id="rId15" Type="http://schemas.openxmlformats.org/officeDocument/2006/relationships/hyperlink" Target="https://maritzcx.atlassian.net/browse/BD-33336" TargetMode="External"/><Relationship Id="rId23" Type="http://schemas.openxmlformats.org/officeDocument/2006/relationships/hyperlink" Target="https://maritzcx.atlassian.net/browse/BD-33782" TargetMode="External"/><Relationship Id="rId28" Type="http://schemas.openxmlformats.org/officeDocument/2006/relationships/hyperlink" Target="https://maritzcx.atlassian.net/browse/BD-34307" TargetMode="External"/><Relationship Id="rId36" Type="http://schemas.openxmlformats.org/officeDocument/2006/relationships/hyperlink" Target="https://maritzcx.atlassian.net/browse/BD-33231" TargetMode="External"/><Relationship Id="rId10" Type="http://schemas.openxmlformats.org/officeDocument/2006/relationships/hyperlink" Target="https://maritzcx.atlassian.net/browse/BD-32941" TargetMode="External"/><Relationship Id="rId19" Type="http://schemas.openxmlformats.org/officeDocument/2006/relationships/hyperlink" Target="https://maritzcx.atlassian.net/browse/BD-33553" TargetMode="External"/><Relationship Id="rId31" Type="http://schemas.openxmlformats.org/officeDocument/2006/relationships/hyperlink" Target="https://maritzcx.atlassian.net/browse/BD-30343" TargetMode="External"/><Relationship Id="rId4" Type="http://schemas.openxmlformats.org/officeDocument/2006/relationships/hyperlink" Target="https://maritzcx.atlassian.net/browse/BD-30344" TargetMode="External"/><Relationship Id="rId9" Type="http://schemas.openxmlformats.org/officeDocument/2006/relationships/hyperlink" Target="https://maritzcx.atlassian.net/browse/BD-32753" TargetMode="External"/><Relationship Id="rId14" Type="http://schemas.openxmlformats.org/officeDocument/2006/relationships/hyperlink" Target="https://maritzcx.atlassian.net/browse/BD-33167" TargetMode="External"/><Relationship Id="rId22" Type="http://schemas.openxmlformats.org/officeDocument/2006/relationships/hyperlink" Target="https://maritzcx.atlassian.net/browse/BD-33704" TargetMode="External"/><Relationship Id="rId27" Type="http://schemas.openxmlformats.org/officeDocument/2006/relationships/hyperlink" Target="https://maritzcx.atlassian.net/browse/BD-34225" TargetMode="External"/><Relationship Id="rId30" Type="http://schemas.openxmlformats.org/officeDocument/2006/relationships/hyperlink" Target="https://maritzcx.atlassian.net/issues/?jql=issueKey%20in%20(BD-30343%2CBD-30433%2CBD-30444%2CBD-32487%2CBD-32940%2CBD-33231%2CBD-33685%2CBD-33790%2CBD-34214%2CBD-34306)" TargetMode="External"/><Relationship Id="rId35" Type="http://schemas.openxmlformats.org/officeDocument/2006/relationships/hyperlink" Target="https://maritzcx.atlassian.net/browse/BD-32940" TargetMode="External"/><Relationship Id="rId8" Type="http://schemas.openxmlformats.org/officeDocument/2006/relationships/hyperlink" Target="https://maritzcx.atlassian.net/browse/BD-32550" TargetMode="External"/><Relationship Id="rId3" Type="http://schemas.openxmlformats.org/officeDocument/2006/relationships/hyperlink" Target="https://maritzcx.atlassian.net/browse/BD-30336" TargetMode="External"/><Relationship Id="rId12" Type="http://schemas.openxmlformats.org/officeDocument/2006/relationships/hyperlink" Target="https://maritzcx.atlassian.net/browse/BD-32944" TargetMode="External"/><Relationship Id="rId17" Type="http://schemas.openxmlformats.org/officeDocument/2006/relationships/hyperlink" Target="https://maritzcx.atlassian.net/browse/BD-33489" TargetMode="External"/><Relationship Id="rId25" Type="http://schemas.openxmlformats.org/officeDocument/2006/relationships/hyperlink" Target="https://maritzcx.atlassian.net/browse/BD-33896" TargetMode="External"/><Relationship Id="rId33" Type="http://schemas.openxmlformats.org/officeDocument/2006/relationships/hyperlink" Target="https://maritzcx.atlassian.net/browse/BD-30444" TargetMode="External"/><Relationship Id="rId38" Type="http://schemas.openxmlformats.org/officeDocument/2006/relationships/hyperlink" Target="https://maritzcx.atlassian.net/browse/BD-33790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maritzcx.atlassian.net/browse/BD-33700" TargetMode="External"/><Relationship Id="rId18" Type="http://schemas.openxmlformats.org/officeDocument/2006/relationships/hyperlink" Target="https://maritzcx.atlassian.net/browse/BD-33983" TargetMode="External"/><Relationship Id="rId26" Type="http://schemas.openxmlformats.org/officeDocument/2006/relationships/hyperlink" Target="https://maritzcx.atlassian.net/browse/BD-34369" TargetMode="External"/><Relationship Id="rId21" Type="http://schemas.openxmlformats.org/officeDocument/2006/relationships/hyperlink" Target="https://maritzcx.atlassian.net/browse/BD-34237" TargetMode="External"/><Relationship Id="rId34" Type="http://schemas.openxmlformats.org/officeDocument/2006/relationships/hyperlink" Target="https://maritzcx.atlassian.net/issues/?jql=issueKey%20in%20(BD-31347%2CBD-32487%2CBD-34019)" TargetMode="External"/><Relationship Id="rId7" Type="http://schemas.openxmlformats.org/officeDocument/2006/relationships/hyperlink" Target="https://maritzcx.atlassian.net/browse/BD-30444" TargetMode="External"/><Relationship Id="rId12" Type="http://schemas.openxmlformats.org/officeDocument/2006/relationships/hyperlink" Target="https://maritzcx.atlassian.net/browse/BD-33698" TargetMode="External"/><Relationship Id="rId17" Type="http://schemas.openxmlformats.org/officeDocument/2006/relationships/hyperlink" Target="https://maritzcx.atlassian.net/browse/BD-33913" TargetMode="External"/><Relationship Id="rId25" Type="http://schemas.openxmlformats.org/officeDocument/2006/relationships/hyperlink" Target="https://maritzcx.atlassian.net/browse/BD-34368" TargetMode="External"/><Relationship Id="rId33" Type="http://schemas.openxmlformats.org/officeDocument/2006/relationships/hyperlink" Target="https://maritzcx.atlassian.net/browse/BD-34911" TargetMode="External"/><Relationship Id="rId2" Type="http://schemas.openxmlformats.org/officeDocument/2006/relationships/hyperlink" Target="https://maritzcx.atlassian.net/browse/BD-30254" TargetMode="External"/><Relationship Id="rId16" Type="http://schemas.openxmlformats.org/officeDocument/2006/relationships/hyperlink" Target="https://maritzcx.atlassian.net/browse/BD-33904" TargetMode="External"/><Relationship Id="rId20" Type="http://schemas.openxmlformats.org/officeDocument/2006/relationships/hyperlink" Target="https://maritzcx.atlassian.net/browse/BD-34214" TargetMode="External"/><Relationship Id="rId29" Type="http://schemas.openxmlformats.org/officeDocument/2006/relationships/hyperlink" Target="https://maritzcx.atlassian.net/browse/BD-34559" TargetMode="External"/><Relationship Id="rId1" Type="http://schemas.openxmlformats.org/officeDocument/2006/relationships/hyperlink" Target="https://maritzcx.atlassian.net/issues/?jql=issueKey%20in%20(BD-30254%2CBD-30291%2CBD-30343%2CBD-30433%2CBD-30436%2CBD-30444%2CBD-32940%2CBD-33231%2CBD-33587%2CBD-33685%2CBD-33698%2CBD-33700%2CBD-33702%2CBD-33790%2CBD-33904%2CBD-33913%2CBD-33983%2CBD-34145%2CBD-34214%2CBD-34237%2CBD-34238%2CBD-34306%2CBD-34357%2CBD-34368%2CBD-34369%2CBD-34370%2CBD-34546%2CBD-34559%2CBD-34590%2CBD-34719%2CBD-34741%2CBD-34911)" TargetMode="External"/><Relationship Id="rId6" Type="http://schemas.openxmlformats.org/officeDocument/2006/relationships/hyperlink" Target="https://maritzcx.atlassian.net/browse/BD-30436" TargetMode="External"/><Relationship Id="rId11" Type="http://schemas.openxmlformats.org/officeDocument/2006/relationships/hyperlink" Target="https://maritzcx.atlassian.net/browse/BD-33685" TargetMode="External"/><Relationship Id="rId24" Type="http://schemas.openxmlformats.org/officeDocument/2006/relationships/hyperlink" Target="https://maritzcx.atlassian.net/browse/BD-34357" TargetMode="External"/><Relationship Id="rId32" Type="http://schemas.openxmlformats.org/officeDocument/2006/relationships/hyperlink" Target="https://maritzcx.atlassian.net/browse/BD-34741" TargetMode="External"/><Relationship Id="rId37" Type="http://schemas.openxmlformats.org/officeDocument/2006/relationships/hyperlink" Target="https://maritzcx.atlassian.net/browse/BD-34019" TargetMode="External"/><Relationship Id="rId5" Type="http://schemas.openxmlformats.org/officeDocument/2006/relationships/hyperlink" Target="https://maritzcx.atlassian.net/browse/BD-30433" TargetMode="External"/><Relationship Id="rId15" Type="http://schemas.openxmlformats.org/officeDocument/2006/relationships/hyperlink" Target="https://maritzcx.atlassian.net/browse/BD-33790" TargetMode="External"/><Relationship Id="rId23" Type="http://schemas.openxmlformats.org/officeDocument/2006/relationships/hyperlink" Target="https://maritzcx.atlassian.net/browse/BD-34306" TargetMode="External"/><Relationship Id="rId28" Type="http://schemas.openxmlformats.org/officeDocument/2006/relationships/hyperlink" Target="https://maritzcx.atlassian.net/browse/BD-34546" TargetMode="External"/><Relationship Id="rId36" Type="http://schemas.openxmlformats.org/officeDocument/2006/relationships/hyperlink" Target="https://maritzcx.atlassian.net/browse/BD-32487" TargetMode="External"/><Relationship Id="rId10" Type="http://schemas.openxmlformats.org/officeDocument/2006/relationships/hyperlink" Target="https://maritzcx.atlassian.net/browse/BD-33587" TargetMode="External"/><Relationship Id="rId19" Type="http://schemas.openxmlformats.org/officeDocument/2006/relationships/hyperlink" Target="https://maritzcx.atlassian.net/browse/BD-34145" TargetMode="External"/><Relationship Id="rId31" Type="http://schemas.openxmlformats.org/officeDocument/2006/relationships/hyperlink" Target="https://maritzcx.atlassian.net/browse/BD-34719" TargetMode="External"/><Relationship Id="rId4" Type="http://schemas.openxmlformats.org/officeDocument/2006/relationships/hyperlink" Target="https://maritzcx.atlassian.net/browse/BD-30343" TargetMode="External"/><Relationship Id="rId9" Type="http://schemas.openxmlformats.org/officeDocument/2006/relationships/hyperlink" Target="https://maritzcx.atlassian.net/browse/BD-33231" TargetMode="External"/><Relationship Id="rId14" Type="http://schemas.openxmlformats.org/officeDocument/2006/relationships/hyperlink" Target="https://maritzcx.atlassian.net/browse/BD-33702" TargetMode="External"/><Relationship Id="rId22" Type="http://schemas.openxmlformats.org/officeDocument/2006/relationships/hyperlink" Target="https://maritzcx.atlassian.net/browse/BD-34238" TargetMode="External"/><Relationship Id="rId27" Type="http://schemas.openxmlformats.org/officeDocument/2006/relationships/hyperlink" Target="https://maritzcx.atlassian.net/browse/BD-34370" TargetMode="External"/><Relationship Id="rId30" Type="http://schemas.openxmlformats.org/officeDocument/2006/relationships/hyperlink" Target="https://maritzcx.atlassian.net/browse/BD-34590" TargetMode="External"/><Relationship Id="rId35" Type="http://schemas.openxmlformats.org/officeDocument/2006/relationships/hyperlink" Target="https://maritzcx.atlassian.net/browse/BD-31347" TargetMode="External"/><Relationship Id="rId8" Type="http://schemas.openxmlformats.org/officeDocument/2006/relationships/hyperlink" Target="https://maritzcx.atlassian.net/browse/BD-32940" TargetMode="External"/><Relationship Id="rId3" Type="http://schemas.openxmlformats.org/officeDocument/2006/relationships/hyperlink" Target="https://maritzcx.atlassian.net/browse/BD-30291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maritzcx.atlassian.net/browse/BD-32945" TargetMode="External"/><Relationship Id="rId18" Type="http://schemas.openxmlformats.org/officeDocument/2006/relationships/hyperlink" Target="https://maritzcx.atlassian.net/browse/BD-33537" TargetMode="External"/><Relationship Id="rId26" Type="http://schemas.openxmlformats.org/officeDocument/2006/relationships/hyperlink" Target="https://maritzcx.atlassian.net/browse/BD-33969" TargetMode="External"/><Relationship Id="rId39" Type="http://schemas.openxmlformats.org/officeDocument/2006/relationships/hyperlink" Target="https://maritzcx.atlassian.net/browse/BD-34214" TargetMode="External"/><Relationship Id="rId21" Type="http://schemas.openxmlformats.org/officeDocument/2006/relationships/hyperlink" Target="https://maritzcx.atlassian.net/browse/BD-33694" TargetMode="External"/><Relationship Id="rId34" Type="http://schemas.openxmlformats.org/officeDocument/2006/relationships/hyperlink" Target="https://maritzcx.atlassian.net/browse/BD-32487" TargetMode="External"/><Relationship Id="rId42" Type="http://schemas.openxmlformats.org/officeDocument/2006/relationships/hyperlink" Target="https://maritzcx.atlassian.net/browse/BD-34203" TargetMode="External"/><Relationship Id="rId7" Type="http://schemas.openxmlformats.org/officeDocument/2006/relationships/hyperlink" Target="https://maritzcx.atlassian.net/browse/BD-32101" TargetMode="External"/><Relationship Id="rId2" Type="http://schemas.openxmlformats.org/officeDocument/2006/relationships/hyperlink" Target="https://maritzcx.atlassian.net/browse/BD-30224" TargetMode="External"/><Relationship Id="rId16" Type="http://schemas.openxmlformats.org/officeDocument/2006/relationships/hyperlink" Target="https://maritzcx.atlassian.net/browse/BD-33341" TargetMode="External"/><Relationship Id="rId20" Type="http://schemas.openxmlformats.org/officeDocument/2006/relationships/hyperlink" Target="https://maritzcx.atlassian.net/browse/BD-33556" TargetMode="External"/><Relationship Id="rId29" Type="http://schemas.openxmlformats.org/officeDocument/2006/relationships/hyperlink" Target="https://maritzcx.atlassian.net/browse/BD-34354" TargetMode="External"/><Relationship Id="rId41" Type="http://schemas.openxmlformats.org/officeDocument/2006/relationships/hyperlink" Target="https://maritzcx.atlassian.net/issues/?jql=issueKey%20in%20(BD-34203)" TargetMode="External"/><Relationship Id="rId1" Type="http://schemas.openxmlformats.org/officeDocument/2006/relationships/hyperlink" Target="https://maritzcx.atlassian.net/issues/?jql=issueKey%20in%20(BD-30224%2CBD-30336%2CBD-30344%2CBD-30442%2CBD-30619%2CBD-32101%2CBD-32550%2CBD-32753%2CBD-32941%2CBD-32942%2CBD-32944%2CBD-32945%2CBD-33167%2CBD-33336%2CBD-33341%2CBD-33489%2CBD-33537%2CBD-33553%2CBD-33556%2CBD-33694%2CBD-33704%2CBD-33782%2CBD-33791%2CBD-33896%2CBD-33969%2CBD-34225%2CBD-34307%2CBD-34354)" TargetMode="External"/><Relationship Id="rId6" Type="http://schemas.openxmlformats.org/officeDocument/2006/relationships/hyperlink" Target="https://maritzcx.atlassian.net/browse/BD-30619" TargetMode="External"/><Relationship Id="rId11" Type="http://schemas.openxmlformats.org/officeDocument/2006/relationships/hyperlink" Target="https://maritzcx.atlassian.net/browse/BD-32942" TargetMode="External"/><Relationship Id="rId24" Type="http://schemas.openxmlformats.org/officeDocument/2006/relationships/hyperlink" Target="https://maritzcx.atlassian.net/browse/BD-33791" TargetMode="External"/><Relationship Id="rId32" Type="http://schemas.openxmlformats.org/officeDocument/2006/relationships/hyperlink" Target="https://maritzcx.atlassian.net/browse/BD-30433" TargetMode="External"/><Relationship Id="rId37" Type="http://schemas.openxmlformats.org/officeDocument/2006/relationships/hyperlink" Target="https://maritzcx.atlassian.net/browse/BD-33685" TargetMode="External"/><Relationship Id="rId40" Type="http://schemas.openxmlformats.org/officeDocument/2006/relationships/hyperlink" Target="https://maritzcx.atlassian.net/browse/BD-34306" TargetMode="External"/><Relationship Id="rId5" Type="http://schemas.openxmlformats.org/officeDocument/2006/relationships/hyperlink" Target="https://maritzcx.atlassian.net/browse/BD-30442" TargetMode="External"/><Relationship Id="rId15" Type="http://schemas.openxmlformats.org/officeDocument/2006/relationships/hyperlink" Target="https://maritzcx.atlassian.net/browse/BD-33336" TargetMode="External"/><Relationship Id="rId23" Type="http://schemas.openxmlformats.org/officeDocument/2006/relationships/hyperlink" Target="https://maritzcx.atlassian.net/browse/BD-33782" TargetMode="External"/><Relationship Id="rId28" Type="http://schemas.openxmlformats.org/officeDocument/2006/relationships/hyperlink" Target="https://maritzcx.atlassian.net/browse/BD-34307" TargetMode="External"/><Relationship Id="rId36" Type="http://schemas.openxmlformats.org/officeDocument/2006/relationships/hyperlink" Target="https://maritzcx.atlassian.net/browse/BD-33231" TargetMode="External"/><Relationship Id="rId10" Type="http://schemas.openxmlformats.org/officeDocument/2006/relationships/hyperlink" Target="https://maritzcx.atlassian.net/browse/BD-32941" TargetMode="External"/><Relationship Id="rId19" Type="http://schemas.openxmlformats.org/officeDocument/2006/relationships/hyperlink" Target="https://maritzcx.atlassian.net/browse/BD-33553" TargetMode="External"/><Relationship Id="rId31" Type="http://schemas.openxmlformats.org/officeDocument/2006/relationships/hyperlink" Target="https://maritzcx.atlassian.net/browse/BD-30343" TargetMode="External"/><Relationship Id="rId4" Type="http://schemas.openxmlformats.org/officeDocument/2006/relationships/hyperlink" Target="https://maritzcx.atlassian.net/browse/BD-30344" TargetMode="External"/><Relationship Id="rId9" Type="http://schemas.openxmlformats.org/officeDocument/2006/relationships/hyperlink" Target="https://maritzcx.atlassian.net/browse/BD-32753" TargetMode="External"/><Relationship Id="rId14" Type="http://schemas.openxmlformats.org/officeDocument/2006/relationships/hyperlink" Target="https://maritzcx.atlassian.net/browse/BD-33167" TargetMode="External"/><Relationship Id="rId22" Type="http://schemas.openxmlformats.org/officeDocument/2006/relationships/hyperlink" Target="https://maritzcx.atlassian.net/browse/BD-33704" TargetMode="External"/><Relationship Id="rId27" Type="http://schemas.openxmlformats.org/officeDocument/2006/relationships/hyperlink" Target="https://maritzcx.atlassian.net/browse/BD-34225" TargetMode="External"/><Relationship Id="rId30" Type="http://schemas.openxmlformats.org/officeDocument/2006/relationships/hyperlink" Target="https://maritzcx.atlassian.net/issues/?jql=issueKey%20in%20(BD-30343%2CBD-30433%2CBD-30444%2CBD-32487%2CBD-32940%2CBD-33231%2CBD-33685%2CBD-33790%2CBD-34214%2CBD-34306)" TargetMode="External"/><Relationship Id="rId35" Type="http://schemas.openxmlformats.org/officeDocument/2006/relationships/hyperlink" Target="https://maritzcx.atlassian.net/browse/BD-32940" TargetMode="External"/><Relationship Id="rId8" Type="http://schemas.openxmlformats.org/officeDocument/2006/relationships/hyperlink" Target="https://maritzcx.atlassian.net/browse/BD-32550" TargetMode="External"/><Relationship Id="rId3" Type="http://schemas.openxmlformats.org/officeDocument/2006/relationships/hyperlink" Target="https://maritzcx.atlassian.net/browse/BD-30336" TargetMode="External"/><Relationship Id="rId12" Type="http://schemas.openxmlformats.org/officeDocument/2006/relationships/hyperlink" Target="https://maritzcx.atlassian.net/browse/BD-32944" TargetMode="External"/><Relationship Id="rId17" Type="http://schemas.openxmlformats.org/officeDocument/2006/relationships/hyperlink" Target="https://maritzcx.atlassian.net/browse/BD-33489" TargetMode="External"/><Relationship Id="rId25" Type="http://schemas.openxmlformats.org/officeDocument/2006/relationships/hyperlink" Target="https://maritzcx.atlassian.net/browse/BD-33896" TargetMode="External"/><Relationship Id="rId33" Type="http://schemas.openxmlformats.org/officeDocument/2006/relationships/hyperlink" Target="https://maritzcx.atlassian.net/browse/BD-30444" TargetMode="External"/><Relationship Id="rId38" Type="http://schemas.openxmlformats.org/officeDocument/2006/relationships/hyperlink" Target="https://maritzcx.atlassian.net/browse/BD-3379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2"/>
  <sheetViews>
    <sheetView tabSelected="1" workbookViewId="0">
      <selection activeCell="D2" sqref="D2"/>
    </sheetView>
  </sheetViews>
  <sheetFormatPr defaultColWidth="24.88671875" defaultRowHeight="23.4" customHeight="1" x14ac:dyDescent="0.3"/>
  <cols>
    <col min="1" max="1" width="22.21875" bestFit="1" customWidth="1"/>
    <col min="2" max="2" width="38" bestFit="1" customWidth="1"/>
    <col min="3" max="3" width="10.21875" bestFit="1" customWidth="1"/>
    <col min="4" max="4" width="6.5546875" bestFit="1" customWidth="1"/>
    <col min="5" max="5" width="19.5546875" bestFit="1" customWidth="1"/>
    <col min="6" max="6" width="16" bestFit="1" customWidth="1"/>
  </cols>
  <sheetData>
    <row r="1" spans="1:9" ht="23.4" customHeight="1" x14ac:dyDescent="0.3">
      <c r="A1" s="10" t="s">
        <v>0</v>
      </c>
      <c r="B1">
        <v>55</v>
      </c>
      <c r="C1">
        <v>47</v>
      </c>
    </row>
    <row r="2" spans="1:9" ht="23.4" customHeight="1" thickBot="1" x14ac:dyDescent="0.35">
      <c r="A2" s="1" t="s">
        <v>1</v>
      </c>
      <c r="B2">
        <v>70</v>
      </c>
      <c r="C2">
        <v>71</v>
      </c>
    </row>
    <row r="3" spans="1:9" ht="23.4" customHeight="1" x14ac:dyDescent="0.3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3" t="s">
        <v>108</v>
      </c>
      <c r="G3" t="s">
        <v>119</v>
      </c>
      <c r="H3" t="s">
        <v>122</v>
      </c>
      <c r="I3" t="s">
        <v>123</v>
      </c>
    </row>
    <row r="4" spans="1:9" ht="23.4" customHeight="1" x14ac:dyDescent="0.3">
      <c r="A4" s="4" t="s">
        <v>37</v>
      </c>
      <c r="B4" s="5" t="s">
        <v>38</v>
      </c>
      <c r="C4" s="6" t="s">
        <v>10</v>
      </c>
      <c r="D4" s="6" t="s">
        <v>11</v>
      </c>
      <c r="E4" s="14" t="s">
        <v>9</v>
      </c>
      <c r="F4" s="7">
        <v>5</v>
      </c>
      <c r="H4">
        <v>5</v>
      </c>
      <c r="I4">
        <v>0</v>
      </c>
    </row>
    <row r="5" spans="1:9" ht="23.4" customHeight="1" x14ac:dyDescent="0.3">
      <c r="A5" s="4" t="s">
        <v>39</v>
      </c>
      <c r="B5" s="5" t="s">
        <v>40</v>
      </c>
      <c r="C5" s="6" t="s">
        <v>10</v>
      </c>
      <c r="D5" s="6" t="s">
        <v>11</v>
      </c>
      <c r="E5" s="14" t="s">
        <v>9</v>
      </c>
      <c r="F5" s="7">
        <v>3</v>
      </c>
      <c r="H5">
        <v>3</v>
      </c>
      <c r="I5">
        <v>5</v>
      </c>
    </row>
    <row r="6" spans="1:9" ht="23.4" customHeight="1" x14ac:dyDescent="0.3">
      <c r="A6" s="4" t="s">
        <v>41</v>
      </c>
      <c r="B6" s="5" t="s">
        <v>42</v>
      </c>
      <c r="C6" s="6" t="s">
        <v>10</v>
      </c>
      <c r="D6" s="6" t="s">
        <v>11</v>
      </c>
      <c r="E6" s="14" t="s">
        <v>9</v>
      </c>
      <c r="F6" s="7">
        <v>2</v>
      </c>
      <c r="H6">
        <v>2</v>
      </c>
      <c r="I6">
        <v>2</v>
      </c>
    </row>
    <row r="7" spans="1:9" ht="23.4" customHeight="1" x14ac:dyDescent="0.3">
      <c r="A7" s="4" t="s">
        <v>43</v>
      </c>
      <c r="B7" s="5" t="s">
        <v>44</v>
      </c>
      <c r="C7" s="6" t="s">
        <v>16</v>
      </c>
      <c r="D7" s="6" t="s">
        <v>11</v>
      </c>
      <c r="E7" s="14" t="s">
        <v>17</v>
      </c>
      <c r="F7" s="7">
        <v>2</v>
      </c>
      <c r="H7">
        <v>2</v>
      </c>
      <c r="I7">
        <v>1</v>
      </c>
    </row>
    <row r="8" spans="1:9" ht="23.4" customHeight="1" x14ac:dyDescent="0.3">
      <c r="A8" s="4" t="s">
        <v>45</v>
      </c>
      <c r="B8" s="5" t="s">
        <v>46</v>
      </c>
      <c r="C8" s="6" t="s">
        <v>10</v>
      </c>
      <c r="D8" s="6" t="s">
        <v>11</v>
      </c>
      <c r="E8" s="14" t="s">
        <v>15</v>
      </c>
      <c r="F8" s="7">
        <v>2</v>
      </c>
      <c r="I8">
        <v>2</v>
      </c>
    </row>
    <row r="9" spans="1:9" ht="23.4" customHeight="1" x14ac:dyDescent="0.3">
      <c r="A9" s="4" t="s">
        <v>47</v>
      </c>
      <c r="B9" s="5" t="s">
        <v>48</v>
      </c>
      <c r="C9" s="6" t="s">
        <v>16</v>
      </c>
      <c r="D9" s="6" t="s">
        <v>11</v>
      </c>
      <c r="E9" s="14" t="s">
        <v>17</v>
      </c>
      <c r="F9" s="7">
        <v>0</v>
      </c>
    </row>
    <row r="10" spans="1:9" ht="23.4" customHeight="1" x14ac:dyDescent="0.3">
      <c r="A10" s="4" t="s">
        <v>49</v>
      </c>
      <c r="B10" s="5" t="s">
        <v>50</v>
      </c>
      <c r="C10" s="6" t="s">
        <v>28</v>
      </c>
      <c r="D10" s="6" t="s">
        <v>11</v>
      </c>
      <c r="E10" s="14" t="s">
        <v>27</v>
      </c>
      <c r="F10" s="7">
        <v>2</v>
      </c>
      <c r="I10">
        <v>2</v>
      </c>
    </row>
    <row r="11" spans="1:9" ht="23.4" customHeight="1" x14ac:dyDescent="0.3">
      <c r="A11" s="4" t="s">
        <v>51</v>
      </c>
      <c r="B11" s="5" t="s">
        <v>52</v>
      </c>
      <c r="C11" s="6" t="s">
        <v>10</v>
      </c>
      <c r="D11" s="6" t="s">
        <v>11</v>
      </c>
      <c r="E11" s="14" t="s">
        <v>27</v>
      </c>
      <c r="F11" s="7">
        <v>1</v>
      </c>
      <c r="I11">
        <v>1</v>
      </c>
    </row>
    <row r="12" spans="1:9" ht="23.4" customHeight="1" x14ac:dyDescent="0.3">
      <c r="A12" s="4" t="s">
        <v>53</v>
      </c>
      <c r="B12" s="5" t="s">
        <v>54</v>
      </c>
      <c r="C12" s="6" t="s">
        <v>10</v>
      </c>
      <c r="D12" s="6" t="s">
        <v>11</v>
      </c>
      <c r="E12" s="14" t="s">
        <v>55</v>
      </c>
      <c r="F12" s="7">
        <v>2</v>
      </c>
      <c r="I12">
        <v>2</v>
      </c>
    </row>
    <row r="13" spans="1:9" ht="23.4" customHeight="1" x14ac:dyDescent="0.3">
      <c r="A13" s="4" t="s">
        <v>56</v>
      </c>
      <c r="B13" s="5" t="s">
        <v>57</v>
      </c>
      <c r="C13" s="6" t="s">
        <v>10</v>
      </c>
      <c r="D13" s="6" t="s">
        <v>11</v>
      </c>
      <c r="E13" s="14" t="s">
        <v>55</v>
      </c>
      <c r="F13" s="7">
        <v>2</v>
      </c>
      <c r="I13">
        <v>2</v>
      </c>
    </row>
    <row r="14" spans="1:9" ht="23.4" customHeight="1" x14ac:dyDescent="0.3">
      <c r="A14" s="4" t="s">
        <v>58</v>
      </c>
      <c r="B14" s="5" t="s">
        <v>59</v>
      </c>
      <c r="C14" s="6" t="s">
        <v>10</v>
      </c>
      <c r="D14" s="6" t="s">
        <v>11</v>
      </c>
      <c r="E14" s="14" t="s">
        <v>55</v>
      </c>
      <c r="F14" s="7">
        <v>2</v>
      </c>
      <c r="I14">
        <v>2</v>
      </c>
    </row>
    <row r="15" spans="1:9" ht="23.4" customHeight="1" x14ac:dyDescent="0.3">
      <c r="A15" s="4" t="s">
        <v>60</v>
      </c>
      <c r="B15" s="5" t="s">
        <v>61</v>
      </c>
      <c r="C15" s="6" t="s">
        <v>10</v>
      </c>
      <c r="D15" s="6" t="s">
        <v>11</v>
      </c>
      <c r="E15" s="14" t="s">
        <v>55</v>
      </c>
      <c r="F15" s="7">
        <v>3</v>
      </c>
      <c r="I15">
        <v>3</v>
      </c>
    </row>
    <row r="16" spans="1:9" ht="23.4" customHeight="1" x14ac:dyDescent="0.3">
      <c r="A16" s="4" t="s">
        <v>62</v>
      </c>
      <c r="B16" s="5" t="s">
        <v>63</v>
      </c>
      <c r="C16" s="6" t="s">
        <v>16</v>
      </c>
      <c r="D16" s="6" t="s">
        <v>11</v>
      </c>
      <c r="E16" s="14" t="s">
        <v>17</v>
      </c>
      <c r="F16" s="7">
        <v>1</v>
      </c>
      <c r="I16">
        <v>1</v>
      </c>
    </row>
    <row r="17" spans="1:9" ht="23.4" customHeight="1" x14ac:dyDescent="0.3">
      <c r="A17" s="4" t="s">
        <v>64</v>
      </c>
      <c r="B17" s="5" t="s">
        <v>65</v>
      </c>
      <c r="C17" s="6" t="s">
        <v>16</v>
      </c>
      <c r="D17" s="6" t="s">
        <v>11</v>
      </c>
      <c r="E17" s="14" t="s">
        <v>17</v>
      </c>
      <c r="F17" s="7">
        <v>1</v>
      </c>
      <c r="I17">
        <v>1</v>
      </c>
    </row>
    <row r="18" spans="1:9" ht="23.4" customHeight="1" x14ac:dyDescent="0.3">
      <c r="A18" s="4" t="s">
        <v>66</v>
      </c>
      <c r="B18" s="5" t="s">
        <v>67</v>
      </c>
      <c r="C18" s="6" t="s">
        <v>10</v>
      </c>
      <c r="D18" s="6" t="s">
        <v>11</v>
      </c>
      <c r="E18" s="14" t="s">
        <v>68</v>
      </c>
      <c r="F18" s="7">
        <v>2</v>
      </c>
      <c r="I18">
        <v>2</v>
      </c>
    </row>
    <row r="19" spans="1:9" ht="23.4" customHeight="1" x14ac:dyDescent="0.3">
      <c r="A19" s="4" t="s">
        <v>69</v>
      </c>
      <c r="B19" s="5" t="s">
        <v>70</v>
      </c>
      <c r="C19" s="6" t="s">
        <v>10</v>
      </c>
      <c r="D19" s="6" t="s">
        <v>11</v>
      </c>
      <c r="E19" s="14" t="s">
        <v>15</v>
      </c>
      <c r="F19" s="8" t="s">
        <v>109</v>
      </c>
      <c r="I19">
        <v>0</v>
      </c>
    </row>
    <row r="20" spans="1:9" ht="23.4" customHeight="1" x14ac:dyDescent="0.3">
      <c r="A20" s="4" t="s">
        <v>71</v>
      </c>
      <c r="B20" s="5" t="s">
        <v>72</v>
      </c>
      <c r="C20" s="6" t="s">
        <v>16</v>
      </c>
      <c r="D20" s="6" t="s">
        <v>11</v>
      </c>
      <c r="E20" s="14" t="s">
        <v>17</v>
      </c>
      <c r="F20" s="7">
        <v>1</v>
      </c>
      <c r="I20">
        <v>1</v>
      </c>
    </row>
    <row r="21" spans="1:9" ht="23.4" customHeight="1" x14ac:dyDescent="0.3">
      <c r="A21" s="4" t="s">
        <v>73</v>
      </c>
      <c r="B21" s="5" t="s">
        <v>74</v>
      </c>
      <c r="C21" s="6" t="s">
        <v>7</v>
      </c>
      <c r="D21" s="6" t="s">
        <v>8</v>
      </c>
      <c r="E21" s="14" t="s">
        <v>15</v>
      </c>
      <c r="F21" s="7">
        <v>2</v>
      </c>
      <c r="I21">
        <v>2</v>
      </c>
    </row>
    <row r="22" spans="1:9" ht="23.4" customHeight="1" x14ac:dyDescent="0.3">
      <c r="A22" s="4" t="s">
        <v>75</v>
      </c>
      <c r="B22" s="5" t="s">
        <v>76</v>
      </c>
      <c r="C22" s="6" t="s">
        <v>16</v>
      </c>
      <c r="D22" s="6" t="s">
        <v>11</v>
      </c>
      <c r="E22" s="14" t="s">
        <v>17</v>
      </c>
      <c r="F22" s="7">
        <v>1</v>
      </c>
      <c r="I22">
        <v>1</v>
      </c>
    </row>
    <row r="23" spans="1:9" ht="23.4" customHeight="1" x14ac:dyDescent="0.3">
      <c r="A23" s="4" t="s">
        <v>77</v>
      </c>
      <c r="B23" s="5" t="s">
        <v>78</v>
      </c>
      <c r="C23" s="6" t="s">
        <v>16</v>
      </c>
      <c r="D23" s="6" t="s">
        <v>11</v>
      </c>
      <c r="E23" s="14" t="s">
        <v>17</v>
      </c>
      <c r="F23" s="8" t="s">
        <v>110</v>
      </c>
    </row>
    <row r="24" spans="1:9" ht="23.4" customHeight="1" x14ac:dyDescent="0.3">
      <c r="A24" s="4" t="s">
        <v>79</v>
      </c>
      <c r="B24" s="5" t="s">
        <v>80</v>
      </c>
      <c r="C24" s="6" t="s">
        <v>7</v>
      </c>
      <c r="D24" s="6" t="s">
        <v>81</v>
      </c>
      <c r="E24" s="14" t="s">
        <v>15</v>
      </c>
      <c r="F24" s="7">
        <v>2</v>
      </c>
      <c r="I24">
        <v>2</v>
      </c>
    </row>
    <row r="25" spans="1:9" ht="23.4" customHeight="1" x14ac:dyDescent="0.3">
      <c r="A25" s="4" t="s">
        <v>82</v>
      </c>
      <c r="B25" s="5" t="s">
        <v>83</v>
      </c>
      <c r="C25" s="6" t="s">
        <v>7</v>
      </c>
      <c r="D25" s="6" t="s">
        <v>81</v>
      </c>
      <c r="E25" s="14" t="s">
        <v>15</v>
      </c>
      <c r="F25" s="7" t="s">
        <v>33</v>
      </c>
      <c r="I25">
        <v>0</v>
      </c>
    </row>
    <row r="26" spans="1:9" ht="23.4" customHeight="1" x14ac:dyDescent="0.3">
      <c r="A26" s="4" t="s">
        <v>84</v>
      </c>
      <c r="B26" s="5" t="s">
        <v>85</v>
      </c>
      <c r="C26" s="6" t="s">
        <v>10</v>
      </c>
      <c r="D26" s="6" t="s">
        <v>11</v>
      </c>
      <c r="E26" s="14" t="s">
        <v>15</v>
      </c>
      <c r="F26" s="8" t="s">
        <v>111</v>
      </c>
    </row>
    <row r="27" spans="1:9" ht="23.4" customHeight="1" x14ac:dyDescent="0.3">
      <c r="A27" s="4" t="s">
        <v>86</v>
      </c>
      <c r="B27" s="5" t="s">
        <v>87</v>
      </c>
      <c r="C27" s="6" t="s">
        <v>7</v>
      </c>
      <c r="D27" s="6" t="s">
        <v>81</v>
      </c>
      <c r="E27" s="14" t="s">
        <v>15</v>
      </c>
      <c r="F27" s="8" t="s">
        <v>111</v>
      </c>
    </row>
    <row r="28" spans="1:9" ht="23.4" customHeight="1" x14ac:dyDescent="0.3">
      <c r="A28" s="4" t="s">
        <v>88</v>
      </c>
      <c r="B28" s="5" t="s">
        <v>89</v>
      </c>
      <c r="C28" s="6" t="s">
        <v>10</v>
      </c>
      <c r="D28" s="6" t="s">
        <v>11</v>
      </c>
      <c r="E28" s="14" t="s">
        <v>55</v>
      </c>
      <c r="F28" s="8" t="s">
        <v>112</v>
      </c>
    </row>
    <row r="29" spans="1:9" ht="23.4" customHeight="1" x14ac:dyDescent="0.3">
      <c r="A29" s="4" t="s">
        <v>90</v>
      </c>
      <c r="B29" s="5" t="s">
        <v>91</v>
      </c>
      <c r="C29" s="6" t="s">
        <v>7</v>
      </c>
      <c r="D29" s="6" t="s">
        <v>81</v>
      </c>
      <c r="E29" s="14" t="s">
        <v>15</v>
      </c>
      <c r="F29" s="8" t="s">
        <v>111</v>
      </c>
    </row>
    <row r="30" spans="1:9" ht="23.4" customHeight="1" x14ac:dyDescent="0.3">
      <c r="A30" s="4" t="s">
        <v>92</v>
      </c>
      <c r="B30" s="5" t="s">
        <v>93</v>
      </c>
      <c r="C30" s="6" t="s">
        <v>7</v>
      </c>
      <c r="D30" s="6" t="s">
        <v>32</v>
      </c>
      <c r="E30" s="14" t="s">
        <v>15</v>
      </c>
      <c r="F30" s="8" t="s">
        <v>111</v>
      </c>
    </row>
    <row r="31" spans="1:9" ht="23.4" customHeight="1" x14ac:dyDescent="0.3">
      <c r="A31" s="4" t="s">
        <v>94</v>
      </c>
      <c r="B31" s="5" t="s">
        <v>95</v>
      </c>
      <c r="C31" s="6" t="s">
        <v>16</v>
      </c>
      <c r="D31" s="6" t="s">
        <v>11</v>
      </c>
      <c r="E31" s="14" t="s">
        <v>17</v>
      </c>
      <c r="F31" s="7">
        <v>0</v>
      </c>
    </row>
    <row r="32" spans="1:9" ht="23.4" customHeight="1" x14ac:dyDescent="0.3">
      <c r="A32" s="9"/>
    </row>
    <row r="33" spans="1:8" ht="23.4" customHeight="1" x14ac:dyDescent="0.3">
      <c r="A33" s="9"/>
    </row>
    <row r="34" spans="1:8" ht="23.4" customHeight="1" x14ac:dyDescent="0.3">
      <c r="A34" s="10" t="s">
        <v>34</v>
      </c>
    </row>
    <row r="35" spans="1:8" ht="23.4" customHeight="1" thickBot="1" x14ac:dyDescent="0.35">
      <c r="A35" s="1" t="s">
        <v>1</v>
      </c>
    </row>
    <row r="36" spans="1:8" ht="23.4" customHeight="1" x14ac:dyDescent="0.3">
      <c r="A36" s="2" t="s">
        <v>2</v>
      </c>
      <c r="B36" s="2" t="s">
        <v>3</v>
      </c>
      <c r="C36" s="2" t="s">
        <v>4</v>
      </c>
      <c r="D36" s="2" t="s">
        <v>5</v>
      </c>
      <c r="E36" s="2" t="s">
        <v>6</v>
      </c>
      <c r="F36" s="3" t="s">
        <v>113</v>
      </c>
      <c r="G36" t="s">
        <v>121</v>
      </c>
    </row>
    <row r="37" spans="1:8" ht="23.4" customHeight="1" x14ac:dyDescent="0.3">
      <c r="A37" s="4" t="s">
        <v>12</v>
      </c>
      <c r="B37" s="5" t="s">
        <v>13</v>
      </c>
      <c r="C37" s="6" t="s">
        <v>10</v>
      </c>
      <c r="D37" s="6" t="s">
        <v>11</v>
      </c>
      <c r="E37" s="15" t="s">
        <v>35</v>
      </c>
      <c r="F37" s="7">
        <v>5</v>
      </c>
      <c r="G37">
        <v>5</v>
      </c>
      <c r="H37">
        <v>5</v>
      </c>
    </row>
    <row r="38" spans="1:8" ht="23.4" customHeight="1" x14ac:dyDescent="0.3">
      <c r="A38" s="4" t="s">
        <v>96</v>
      </c>
      <c r="B38" s="5" t="s">
        <v>14</v>
      </c>
      <c r="C38" s="6" t="s">
        <v>10</v>
      </c>
      <c r="D38" s="6" t="s">
        <v>11</v>
      </c>
      <c r="E38" s="16" t="s">
        <v>97</v>
      </c>
      <c r="F38" s="7">
        <v>0</v>
      </c>
      <c r="G38">
        <v>0</v>
      </c>
    </row>
    <row r="39" spans="1:8" ht="23.4" customHeight="1" x14ac:dyDescent="0.3">
      <c r="A39" s="4" t="s">
        <v>18</v>
      </c>
      <c r="B39" s="5" t="s">
        <v>19</v>
      </c>
      <c r="C39" s="6" t="s">
        <v>10</v>
      </c>
      <c r="D39" s="6" t="s">
        <v>11</v>
      </c>
      <c r="E39" s="15" t="s">
        <v>35</v>
      </c>
      <c r="F39" s="7">
        <v>3</v>
      </c>
      <c r="G39">
        <v>3</v>
      </c>
      <c r="H39">
        <v>3</v>
      </c>
    </row>
    <row r="40" spans="1:8" ht="23.4" customHeight="1" x14ac:dyDescent="0.3">
      <c r="A40" s="4" t="s">
        <v>98</v>
      </c>
      <c r="B40" s="5" t="s">
        <v>36</v>
      </c>
      <c r="C40" s="6" t="s">
        <v>10</v>
      </c>
      <c r="D40" s="6" t="s">
        <v>11</v>
      </c>
      <c r="E40" s="15" t="s">
        <v>35</v>
      </c>
      <c r="F40" s="7">
        <v>3</v>
      </c>
      <c r="G40">
        <v>3</v>
      </c>
    </row>
    <row r="41" spans="1:8" ht="23.4" customHeight="1" x14ac:dyDescent="0.3">
      <c r="A41" s="4" t="s">
        <v>20</v>
      </c>
      <c r="B41" s="5" t="s">
        <v>21</v>
      </c>
      <c r="C41" s="6" t="s">
        <v>10</v>
      </c>
      <c r="D41" s="6" t="s">
        <v>11</v>
      </c>
      <c r="E41" s="15" t="s">
        <v>35</v>
      </c>
      <c r="F41" s="7">
        <v>1</v>
      </c>
      <c r="G41">
        <v>1</v>
      </c>
      <c r="H41">
        <v>1</v>
      </c>
    </row>
    <row r="42" spans="1:8" ht="23.4" customHeight="1" x14ac:dyDescent="0.3">
      <c r="A42" s="4" t="s">
        <v>22</v>
      </c>
      <c r="B42" s="5" t="s">
        <v>23</v>
      </c>
      <c r="C42" s="6" t="s">
        <v>10</v>
      </c>
      <c r="D42" s="6" t="s">
        <v>11</v>
      </c>
      <c r="E42" s="15" t="s">
        <v>35</v>
      </c>
      <c r="F42" s="7">
        <v>3</v>
      </c>
      <c r="G42">
        <v>3</v>
      </c>
      <c r="H42">
        <v>3</v>
      </c>
    </row>
    <row r="43" spans="1:8" ht="23.4" customHeight="1" x14ac:dyDescent="0.3">
      <c r="A43" s="4" t="s">
        <v>24</v>
      </c>
      <c r="B43" s="5" t="s">
        <v>25</v>
      </c>
      <c r="C43" s="6" t="s">
        <v>16</v>
      </c>
      <c r="D43" s="6" t="s">
        <v>11</v>
      </c>
      <c r="E43" s="15" t="s">
        <v>35</v>
      </c>
      <c r="F43" s="7">
        <v>2</v>
      </c>
      <c r="G43">
        <v>2</v>
      </c>
      <c r="H43">
        <v>2</v>
      </c>
    </row>
    <row r="44" spans="1:8" ht="23.4" customHeight="1" x14ac:dyDescent="0.3">
      <c r="A44" s="4" t="s">
        <v>99</v>
      </c>
      <c r="B44" s="5" t="s">
        <v>26</v>
      </c>
      <c r="C44" s="6" t="s">
        <v>16</v>
      </c>
      <c r="D44" s="6" t="s">
        <v>11</v>
      </c>
      <c r="E44" s="15" t="s">
        <v>35</v>
      </c>
      <c r="F44" s="8" t="s">
        <v>111</v>
      </c>
      <c r="G44">
        <v>1</v>
      </c>
    </row>
    <row r="45" spans="1:8" ht="23.4" customHeight="1" x14ac:dyDescent="0.3">
      <c r="A45" s="4" t="s">
        <v>100</v>
      </c>
      <c r="B45" s="5" t="s">
        <v>29</v>
      </c>
      <c r="C45" s="6" t="s">
        <v>7</v>
      </c>
      <c r="D45" s="6" t="s">
        <v>30</v>
      </c>
      <c r="E45" s="15" t="s">
        <v>35</v>
      </c>
      <c r="F45" s="8" t="s">
        <v>112</v>
      </c>
      <c r="G45">
        <v>2</v>
      </c>
    </row>
    <row r="46" spans="1:8" ht="23.4" customHeight="1" x14ac:dyDescent="0.3">
      <c r="A46" s="4" t="s">
        <v>101</v>
      </c>
      <c r="B46" s="5" t="s">
        <v>31</v>
      </c>
      <c r="C46" s="6" t="s">
        <v>7</v>
      </c>
      <c r="D46" s="6" t="s">
        <v>30</v>
      </c>
      <c r="E46" s="15" t="s">
        <v>35</v>
      </c>
      <c r="F46" s="8" t="s">
        <v>112</v>
      </c>
      <c r="G46">
        <v>2</v>
      </c>
    </row>
    <row r="47" spans="1:8" ht="23.4" customHeight="1" x14ac:dyDescent="0.3">
      <c r="A47" s="9"/>
    </row>
    <row r="48" spans="1:8" ht="23.4" customHeight="1" x14ac:dyDescent="0.3">
      <c r="A48" s="9"/>
    </row>
    <row r="49" spans="1:6" ht="23.4" customHeight="1" x14ac:dyDescent="0.3">
      <c r="A49" s="10" t="s">
        <v>114</v>
      </c>
    </row>
    <row r="50" spans="1:6" ht="23.4" customHeight="1" thickBot="1" x14ac:dyDescent="0.35">
      <c r="A50" s="1" t="s">
        <v>1</v>
      </c>
    </row>
    <row r="51" spans="1:6" ht="23.4" customHeight="1" x14ac:dyDescent="0.3">
      <c r="A51" s="2" t="s">
        <v>2</v>
      </c>
      <c r="B51" s="2" t="s">
        <v>3</v>
      </c>
      <c r="C51" s="2" t="s">
        <v>4</v>
      </c>
      <c r="D51" s="2" t="s">
        <v>5</v>
      </c>
      <c r="E51" s="2" t="s">
        <v>6</v>
      </c>
      <c r="F51" s="3" t="s">
        <v>115</v>
      </c>
    </row>
    <row r="52" spans="1:6" ht="23.4" customHeight="1" x14ac:dyDescent="0.3">
      <c r="A52" s="4" t="s">
        <v>116</v>
      </c>
      <c r="B52" s="5" t="s">
        <v>117</v>
      </c>
      <c r="C52" s="6" t="s">
        <v>7</v>
      </c>
      <c r="D52" s="6" t="s">
        <v>8</v>
      </c>
      <c r="E52" s="14" t="s">
        <v>118</v>
      </c>
      <c r="F52" s="7" t="s">
        <v>33</v>
      </c>
    </row>
  </sheetData>
  <hyperlinks>
    <hyperlink ref="A2" r:id="rId1" display="https://maritzcx.atlassian.net/issues/?jql=issueKey%20in%20(BD-30224%2CBD-30336%2CBD-30344%2CBD-30442%2CBD-30619%2CBD-32101%2CBD-32550%2CBD-32753%2CBD-32941%2CBD-32942%2CBD-32944%2CBD-32945%2CBD-33167%2CBD-33336%2CBD-33341%2CBD-33489%2CBD-33537%2CBD-33553%2CBD-33556%2CBD-33694%2CBD-33704%2CBD-33782%2CBD-33791%2CBD-33896%2CBD-33969%2CBD-34225%2CBD-34307%2CBD-34354)"/>
    <hyperlink ref="A4" r:id="rId2" display="https://maritzcx.atlassian.net/browse/BD-30224"/>
    <hyperlink ref="A5" r:id="rId3" display="https://maritzcx.atlassian.net/browse/BD-30336"/>
    <hyperlink ref="A6" r:id="rId4" display="https://maritzcx.atlassian.net/browse/BD-30344"/>
    <hyperlink ref="A7" r:id="rId5" display="https://maritzcx.atlassian.net/browse/BD-30442"/>
    <hyperlink ref="A8" r:id="rId6" display="https://maritzcx.atlassian.net/browse/BD-30619"/>
    <hyperlink ref="A9" r:id="rId7" display="https://maritzcx.atlassian.net/browse/BD-32101"/>
    <hyperlink ref="A10" r:id="rId8" display="https://maritzcx.atlassian.net/browse/BD-32550"/>
    <hyperlink ref="A11" r:id="rId9" display="https://maritzcx.atlassian.net/browse/BD-32753"/>
    <hyperlink ref="A12" r:id="rId10" display="https://maritzcx.atlassian.net/browse/BD-32941"/>
    <hyperlink ref="A13" r:id="rId11" display="https://maritzcx.atlassian.net/browse/BD-32942"/>
    <hyperlink ref="A14" r:id="rId12" display="https://maritzcx.atlassian.net/browse/BD-32944"/>
    <hyperlink ref="A15" r:id="rId13" display="https://maritzcx.atlassian.net/browse/BD-32945"/>
    <hyperlink ref="A16" r:id="rId14" display="https://maritzcx.atlassian.net/browse/BD-33167"/>
    <hyperlink ref="A17" r:id="rId15" display="https://maritzcx.atlassian.net/browse/BD-33336"/>
    <hyperlink ref="A18" r:id="rId16" display="https://maritzcx.atlassian.net/browse/BD-33341"/>
    <hyperlink ref="A19" r:id="rId17" display="https://maritzcx.atlassian.net/browse/BD-33489"/>
    <hyperlink ref="A20" r:id="rId18" display="https://maritzcx.atlassian.net/browse/BD-33537"/>
    <hyperlink ref="A21" r:id="rId19" display="https://maritzcx.atlassian.net/browse/BD-33553"/>
    <hyperlink ref="A22" r:id="rId20" display="https://maritzcx.atlassian.net/browse/BD-33556"/>
    <hyperlink ref="A23" r:id="rId21" display="https://maritzcx.atlassian.net/browse/BD-33694"/>
    <hyperlink ref="A24" r:id="rId22" display="https://maritzcx.atlassian.net/browse/BD-33704"/>
    <hyperlink ref="A25" r:id="rId23" display="https://maritzcx.atlassian.net/browse/BD-33782"/>
    <hyperlink ref="A26" r:id="rId24" display="https://maritzcx.atlassian.net/browse/BD-33791"/>
    <hyperlink ref="A27" r:id="rId25" display="https://maritzcx.atlassian.net/browse/BD-33896"/>
    <hyperlink ref="A28" r:id="rId26" display="https://maritzcx.atlassian.net/browse/BD-33969"/>
    <hyperlink ref="A29" r:id="rId27" display="https://maritzcx.atlassian.net/browse/BD-34225"/>
    <hyperlink ref="A30" r:id="rId28" display="https://maritzcx.atlassian.net/browse/BD-34307"/>
    <hyperlink ref="A31" r:id="rId29" display="https://maritzcx.atlassian.net/browse/BD-34354"/>
    <hyperlink ref="A35" r:id="rId30" display="https://maritzcx.atlassian.net/issues/?jql=issueKey%20in%20(BD-30343%2CBD-30433%2CBD-30444%2CBD-32487%2CBD-32940%2CBD-33231%2CBD-33685%2CBD-33790%2CBD-34214%2CBD-34306)"/>
    <hyperlink ref="A37" r:id="rId31" display="https://maritzcx.atlassian.net/browse/BD-30343"/>
    <hyperlink ref="A38" r:id="rId32" display="https://maritzcx.atlassian.net/browse/BD-30433"/>
    <hyperlink ref="A39" r:id="rId33" display="https://maritzcx.atlassian.net/browse/BD-30444"/>
    <hyperlink ref="A40" r:id="rId34" display="https://maritzcx.atlassian.net/browse/BD-32487"/>
    <hyperlink ref="A41" r:id="rId35" display="https://maritzcx.atlassian.net/browse/BD-32940"/>
    <hyperlink ref="A42" r:id="rId36" display="https://maritzcx.atlassian.net/browse/BD-33231"/>
    <hyperlink ref="A43" r:id="rId37" display="https://maritzcx.atlassian.net/browse/BD-33685"/>
    <hyperlink ref="A44" r:id="rId38" display="https://maritzcx.atlassian.net/browse/BD-33790"/>
    <hyperlink ref="A45" r:id="rId39" display="https://maritzcx.atlassian.net/browse/BD-34214"/>
    <hyperlink ref="A46" r:id="rId40" display="https://maritzcx.atlassian.net/browse/BD-34306"/>
    <hyperlink ref="A50" r:id="rId41" display="https://maritzcx.atlassian.net/issues/?jql=issueKey%20in%20(BD-34203)"/>
    <hyperlink ref="A52" r:id="rId42" display="https://maritzcx.atlassian.net/browse/BD-3420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52"/>
  <sheetViews>
    <sheetView workbookViewId="0">
      <selection sqref="A1:F43"/>
    </sheetView>
  </sheetViews>
  <sheetFormatPr defaultColWidth="24.88671875" defaultRowHeight="23.4" customHeight="1" x14ac:dyDescent="0.3"/>
  <cols>
    <col min="1" max="1" width="22.21875" bestFit="1" customWidth="1"/>
    <col min="2" max="2" width="38" bestFit="1" customWidth="1"/>
    <col min="3" max="3" width="10.21875" bestFit="1" customWidth="1"/>
    <col min="4" max="4" width="6.5546875" bestFit="1" customWidth="1"/>
    <col min="5" max="5" width="19.5546875" bestFit="1" customWidth="1"/>
    <col min="6" max="6" width="16" bestFit="1" customWidth="1"/>
  </cols>
  <sheetData>
    <row r="1" spans="1:9" ht="23.4" customHeight="1" x14ac:dyDescent="0.3">
      <c r="A1" s="10" t="s">
        <v>0</v>
      </c>
    </row>
    <row r="2" spans="1:9" ht="23.4" customHeight="1" thickBot="1" x14ac:dyDescent="0.35">
      <c r="A2" s="1" t="s">
        <v>1</v>
      </c>
    </row>
    <row r="3" spans="1:9" ht="23.4" customHeight="1" x14ac:dyDescent="0.3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3" t="s">
        <v>124</v>
      </c>
      <c r="G3" t="s">
        <v>119</v>
      </c>
      <c r="H3" t="s">
        <v>122</v>
      </c>
      <c r="I3" t="s">
        <v>123</v>
      </c>
    </row>
    <row r="4" spans="1:9" ht="23.4" customHeight="1" x14ac:dyDescent="0.3">
      <c r="A4" s="4" t="s">
        <v>125</v>
      </c>
      <c r="B4" s="5" t="s">
        <v>126</v>
      </c>
      <c r="C4" s="6" t="s">
        <v>7</v>
      </c>
      <c r="D4" s="6" t="s">
        <v>8</v>
      </c>
      <c r="E4" s="14" t="s">
        <v>9</v>
      </c>
      <c r="F4" s="7">
        <v>2</v>
      </c>
      <c r="H4">
        <v>5</v>
      </c>
      <c r="I4">
        <v>0</v>
      </c>
    </row>
    <row r="5" spans="1:9" ht="23.4" customHeight="1" x14ac:dyDescent="0.3">
      <c r="A5" s="4" t="s">
        <v>127</v>
      </c>
      <c r="B5" s="5" t="s">
        <v>128</v>
      </c>
      <c r="C5" s="6" t="s">
        <v>10</v>
      </c>
      <c r="D5" s="6" t="s">
        <v>11</v>
      </c>
      <c r="E5" s="14" t="s">
        <v>9</v>
      </c>
      <c r="F5" s="7">
        <v>5</v>
      </c>
      <c r="H5">
        <v>3</v>
      </c>
      <c r="I5">
        <v>5</v>
      </c>
    </row>
    <row r="6" spans="1:9" ht="23.4" customHeight="1" x14ac:dyDescent="0.3">
      <c r="A6" s="4" t="s">
        <v>12</v>
      </c>
      <c r="B6" s="5" t="s">
        <v>13</v>
      </c>
      <c r="C6" s="6" t="s">
        <v>10</v>
      </c>
      <c r="D6" s="6" t="s">
        <v>11</v>
      </c>
      <c r="E6" s="14" t="s">
        <v>9</v>
      </c>
      <c r="F6" s="7">
        <v>5</v>
      </c>
      <c r="H6">
        <v>2</v>
      </c>
      <c r="I6">
        <v>2</v>
      </c>
    </row>
    <row r="7" spans="1:9" ht="23.4" customHeight="1" x14ac:dyDescent="0.3">
      <c r="A7" s="4" t="s">
        <v>129</v>
      </c>
      <c r="B7" s="5" t="s">
        <v>14</v>
      </c>
      <c r="C7" s="6" t="s">
        <v>10</v>
      </c>
      <c r="D7" s="6" t="s">
        <v>11</v>
      </c>
      <c r="E7" s="14" t="s">
        <v>15</v>
      </c>
      <c r="F7" s="7">
        <v>0</v>
      </c>
      <c r="H7">
        <v>2</v>
      </c>
      <c r="I7">
        <v>1</v>
      </c>
    </row>
    <row r="8" spans="1:9" ht="23.4" customHeight="1" x14ac:dyDescent="0.3">
      <c r="A8" s="4" t="s">
        <v>130</v>
      </c>
      <c r="B8" s="5" t="s">
        <v>131</v>
      </c>
      <c r="C8" s="6" t="s">
        <v>16</v>
      </c>
      <c r="D8" s="6" t="s">
        <v>11</v>
      </c>
      <c r="E8" s="14" t="s">
        <v>17</v>
      </c>
      <c r="F8" s="7">
        <v>0</v>
      </c>
      <c r="I8">
        <v>2</v>
      </c>
    </row>
    <row r="9" spans="1:9" ht="23.4" customHeight="1" x14ac:dyDescent="0.3">
      <c r="A9" s="4" t="s">
        <v>18</v>
      </c>
      <c r="B9" s="5" t="s">
        <v>19</v>
      </c>
      <c r="C9" s="6" t="s">
        <v>10</v>
      </c>
      <c r="D9" s="6" t="s">
        <v>11</v>
      </c>
      <c r="E9" s="14" t="s">
        <v>9</v>
      </c>
      <c r="F9" s="7">
        <v>3</v>
      </c>
    </row>
    <row r="10" spans="1:9" ht="23.4" customHeight="1" x14ac:dyDescent="0.3">
      <c r="A10" s="4" t="s">
        <v>20</v>
      </c>
      <c r="B10" s="5" t="s">
        <v>21</v>
      </c>
      <c r="C10" s="6" t="s">
        <v>10</v>
      </c>
      <c r="D10" s="6" t="s">
        <v>11</v>
      </c>
      <c r="E10" s="14" t="s">
        <v>9</v>
      </c>
      <c r="F10" s="7">
        <v>1</v>
      </c>
      <c r="I10">
        <v>2</v>
      </c>
    </row>
    <row r="11" spans="1:9" ht="23.4" customHeight="1" x14ac:dyDescent="0.3">
      <c r="A11" s="4" t="s">
        <v>22</v>
      </c>
      <c r="B11" s="5" t="s">
        <v>23</v>
      </c>
      <c r="C11" s="6" t="s">
        <v>10</v>
      </c>
      <c r="D11" s="6" t="s">
        <v>11</v>
      </c>
      <c r="E11" s="14" t="s">
        <v>15</v>
      </c>
      <c r="F11" s="7">
        <v>3</v>
      </c>
      <c r="I11">
        <v>1</v>
      </c>
    </row>
    <row r="12" spans="1:9" ht="23.4" customHeight="1" x14ac:dyDescent="0.3">
      <c r="A12" s="4" t="s">
        <v>132</v>
      </c>
      <c r="B12" s="5" t="s">
        <v>133</v>
      </c>
      <c r="C12" s="6" t="s">
        <v>10</v>
      </c>
      <c r="D12" s="6" t="s">
        <v>11</v>
      </c>
      <c r="E12" s="14" t="s">
        <v>9</v>
      </c>
      <c r="F12" s="7">
        <v>5</v>
      </c>
      <c r="I12">
        <v>2</v>
      </c>
    </row>
    <row r="13" spans="1:9" ht="23.4" customHeight="1" x14ac:dyDescent="0.3">
      <c r="A13" s="4" t="s">
        <v>24</v>
      </c>
      <c r="B13" s="5" t="s">
        <v>25</v>
      </c>
      <c r="C13" s="6" t="s">
        <v>16</v>
      </c>
      <c r="D13" s="6" t="s">
        <v>11</v>
      </c>
      <c r="E13" s="14" t="s">
        <v>17</v>
      </c>
      <c r="F13" s="7">
        <v>2</v>
      </c>
      <c r="I13">
        <v>2</v>
      </c>
    </row>
    <row r="14" spans="1:9" ht="23.4" customHeight="1" x14ac:dyDescent="0.3">
      <c r="A14" s="4" t="s">
        <v>134</v>
      </c>
      <c r="B14" s="5" t="s">
        <v>135</v>
      </c>
      <c r="C14" s="6" t="s">
        <v>10</v>
      </c>
      <c r="D14" s="6" t="s">
        <v>11</v>
      </c>
      <c r="E14" s="14" t="s">
        <v>9</v>
      </c>
      <c r="F14" s="7">
        <v>2</v>
      </c>
      <c r="I14">
        <v>2</v>
      </c>
    </row>
    <row r="15" spans="1:9" ht="23.4" customHeight="1" x14ac:dyDescent="0.3">
      <c r="A15" s="4" t="s">
        <v>136</v>
      </c>
      <c r="B15" s="5" t="s">
        <v>137</v>
      </c>
      <c r="C15" s="6" t="s">
        <v>10</v>
      </c>
      <c r="D15" s="6" t="s">
        <v>11</v>
      </c>
      <c r="E15" s="14" t="s">
        <v>9</v>
      </c>
      <c r="F15" s="7">
        <v>5</v>
      </c>
      <c r="I15">
        <v>3</v>
      </c>
    </row>
    <row r="16" spans="1:9" ht="23.4" customHeight="1" x14ac:dyDescent="0.3">
      <c r="A16" s="4" t="s">
        <v>138</v>
      </c>
      <c r="B16" s="5" t="s">
        <v>139</v>
      </c>
      <c r="C16" s="6" t="s">
        <v>10</v>
      </c>
      <c r="D16" s="6" t="s">
        <v>11</v>
      </c>
      <c r="E16" s="14" t="s">
        <v>9</v>
      </c>
      <c r="F16" s="7">
        <v>2</v>
      </c>
      <c r="I16">
        <v>1</v>
      </c>
    </row>
    <row r="17" spans="1:9" ht="23.4" customHeight="1" x14ac:dyDescent="0.3">
      <c r="A17" s="4" t="s">
        <v>140</v>
      </c>
      <c r="B17" s="5" t="s">
        <v>26</v>
      </c>
      <c r="C17" s="6" t="s">
        <v>16</v>
      </c>
      <c r="D17" s="6" t="s">
        <v>11</v>
      </c>
      <c r="E17" s="14" t="s">
        <v>17</v>
      </c>
      <c r="F17" s="7">
        <v>1</v>
      </c>
      <c r="I17">
        <v>1</v>
      </c>
    </row>
    <row r="18" spans="1:9" ht="23.4" customHeight="1" x14ac:dyDescent="0.3">
      <c r="A18" s="4" t="s">
        <v>141</v>
      </c>
      <c r="B18" s="5" t="s">
        <v>142</v>
      </c>
      <c r="C18" s="6" t="s">
        <v>10</v>
      </c>
      <c r="D18" s="6" t="s">
        <v>11</v>
      </c>
      <c r="E18" s="14" t="s">
        <v>27</v>
      </c>
      <c r="F18" s="7">
        <v>1</v>
      </c>
      <c r="I18">
        <v>2</v>
      </c>
    </row>
    <row r="19" spans="1:9" ht="23.4" customHeight="1" x14ac:dyDescent="0.3">
      <c r="A19" s="4" t="s">
        <v>143</v>
      </c>
      <c r="B19" s="5" t="s">
        <v>144</v>
      </c>
      <c r="C19" s="6" t="s">
        <v>28</v>
      </c>
      <c r="D19" s="6" t="s">
        <v>11</v>
      </c>
      <c r="E19" s="14" t="s">
        <v>15</v>
      </c>
      <c r="F19" s="7">
        <v>2</v>
      </c>
      <c r="I19">
        <v>0</v>
      </c>
    </row>
    <row r="20" spans="1:9" ht="23.4" customHeight="1" x14ac:dyDescent="0.3">
      <c r="A20" s="4" t="s">
        <v>145</v>
      </c>
      <c r="B20" s="5" t="s">
        <v>146</v>
      </c>
      <c r="C20" s="6" t="s">
        <v>10</v>
      </c>
      <c r="D20" s="6" t="s">
        <v>11</v>
      </c>
      <c r="E20" s="14" t="s">
        <v>15</v>
      </c>
      <c r="F20" s="7">
        <v>2</v>
      </c>
      <c r="I20">
        <v>1</v>
      </c>
    </row>
    <row r="21" spans="1:9" ht="23.4" customHeight="1" x14ac:dyDescent="0.3">
      <c r="A21" s="4" t="s">
        <v>147</v>
      </c>
      <c r="B21" s="5" t="s">
        <v>148</v>
      </c>
      <c r="C21" s="6" t="s">
        <v>10</v>
      </c>
      <c r="D21" s="6" t="s">
        <v>11</v>
      </c>
      <c r="E21" s="14" t="s">
        <v>27</v>
      </c>
      <c r="F21" s="7">
        <v>2</v>
      </c>
      <c r="I21">
        <v>2</v>
      </c>
    </row>
    <row r="22" spans="1:9" ht="23.4" customHeight="1" x14ac:dyDescent="0.3">
      <c r="A22" s="4" t="s">
        <v>149</v>
      </c>
      <c r="B22" s="5" t="s">
        <v>29</v>
      </c>
      <c r="C22" s="6" t="s">
        <v>7</v>
      </c>
      <c r="D22" s="6" t="s">
        <v>30</v>
      </c>
      <c r="E22" s="14" t="s">
        <v>9</v>
      </c>
      <c r="F22" s="7">
        <v>2</v>
      </c>
      <c r="I22">
        <v>1</v>
      </c>
    </row>
    <row r="23" spans="1:9" ht="23.4" customHeight="1" x14ac:dyDescent="0.3">
      <c r="A23" s="4" t="s">
        <v>150</v>
      </c>
      <c r="B23" s="5" t="s">
        <v>151</v>
      </c>
      <c r="C23" s="6" t="s">
        <v>28</v>
      </c>
      <c r="D23" s="6" t="s">
        <v>11</v>
      </c>
      <c r="E23" s="14" t="s">
        <v>9</v>
      </c>
      <c r="F23" s="7">
        <v>3</v>
      </c>
    </row>
    <row r="24" spans="1:9" ht="23.4" customHeight="1" x14ac:dyDescent="0.3">
      <c r="A24" s="4" t="s">
        <v>152</v>
      </c>
      <c r="B24" s="5" t="s">
        <v>153</v>
      </c>
      <c r="C24" s="6" t="s">
        <v>28</v>
      </c>
      <c r="D24" s="6" t="s">
        <v>11</v>
      </c>
      <c r="E24" s="14" t="s">
        <v>9</v>
      </c>
      <c r="F24" s="7">
        <v>3</v>
      </c>
      <c r="I24">
        <v>2</v>
      </c>
    </row>
    <row r="25" spans="1:9" ht="23.4" customHeight="1" x14ac:dyDescent="0.3">
      <c r="A25" s="4" t="s">
        <v>154</v>
      </c>
      <c r="B25" s="5" t="s">
        <v>31</v>
      </c>
      <c r="C25" s="6" t="s">
        <v>7</v>
      </c>
      <c r="D25" s="6" t="s">
        <v>30</v>
      </c>
      <c r="E25" s="14" t="s">
        <v>15</v>
      </c>
      <c r="F25" s="7">
        <v>2</v>
      </c>
      <c r="I25">
        <v>0</v>
      </c>
    </row>
    <row r="26" spans="1:9" ht="23.4" customHeight="1" x14ac:dyDescent="0.3">
      <c r="A26" s="4" t="s">
        <v>155</v>
      </c>
      <c r="B26" s="5" t="s">
        <v>156</v>
      </c>
      <c r="C26" s="6" t="s">
        <v>10</v>
      </c>
      <c r="D26" s="6" t="s">
        <v>11</v>
      </c>
      <c r="E26" s="14" t="s">
        <v>9</v>
      </c>
      <c r="F26" s="7">
        <v>2</v>
      </c>
    </row>
    <row r="27" spans="1:9" ht="23.4" customHeight="1" x14ac:dyDescent="0.3">
      <c r="A27" s="4" t="s">
        <v>157</v>
      </c>
      <c r="B27" s="5" t="s">
        <v>158</v>
      </c>
      <c r="C27" s="6" t="s">
        <v>10</v>
      </c>
      <c r="D27" s="6" t="s">
        <v>11</v>
      </c>
      <c r="E27" s="14" t="s">
        <v>9</v>
      </c>
      <c r="F27" s="7">
        <v>1</v>
      </c>
    </row>
    <row r="28" spans="1:9" ht="23.4" customHeight="1" x14ac:dyDescent="0.3">
      <c r="A28" s="4" t="s">
        <v>159</v>
      </c>
      <c r="B28" s="5" t="s">
        <v>160</v>
      </c>
      <c r="C28" s="6" t="s">
        <v>16</v>
      </c>
      <c r="D28" s="6" t="s">
        <v>11</v>
      </c>
      <c r="E28" s="14" t="s">
        <v>17</v>
      </c>
      <c r="F28" s="7">
        <v>2</v>
      </c>
    </row>
    <row r="29" spans="1:9" ht="23.4" customHeight="1" x14ac:dyDescent="0.3">
      <c r="A29" s="4" t="s">
        <v>161</v>
      </c>
      <c r="B29" s="5" t="s">
        <v>162</v>
      </c>
      <c r="C29" s="6" t="s">
        <v>10</v>
      </c>
      <c r="D29" s="6" t="s">
        <v>11</v>
      </c>
      <c r="E29" s="14" t="s">
        <v>9</v>
      </c>
      <c r="F29" s="7">
        <v>5</v>
      </c>
    </row>
    <row r="30" spans="1:9" ht="23.4" customHeight="1" x14ac:dyDescent="0.3">
      <c r="A30" s="4" t="s">
        <v>163</v>
      </c>
      <c r="B30" s="5" t="s">
        <v>164</v>
      </c>
      <c r="C30" s="6" t="s">
        <v>10</v>
      </c>
      <c r="D30" s="6" t="s">
        <v>11</v>
      </c>
      <c r="E30" s="14" t="s">
        <v>27</v>
      </c>
      <c r="F30" s="8" t="s">
        <v>111</v>
      </c>
    </row>
    <row r="31" spans="1:9" ht="23.4" customHeight="1" x14ac:dyDescent="0.3">
      <c r="A31" s="4" t="s">
        <v>165</v>
      </c>
      <c r="B31" s="5" t="s">
        <v>166</v>
      </c>
      <c r="C31" s="6" t="s">
        <v>10</v>
      </c>
      <c r="D31" s="6" t="s">
        <v>11</v>
      </c>
      <c r="E31" s="14" t="s">
        <v>9</v>
      </c>
      <c r="F31" s="8" t="s">
        <v>167</v>
      </c>
    </row>
    <row r="32" spans="1:9" ht="23.4" customHeight="1" x14ac:dyDescent="0.3">
      <c r="A32" s="4" t="s">
        <v>168</v>
      </c>
      <c r="B32" s="5" t="s">
        <v>169</v>
      </c>
      <c r="C32" s="6" t="s">
        <v>10</v>
      </c>
      <c r="D32" s="6" t="s">
        <v>11</v>
      </c>
      <c r="E32" s="14" t="s">
        <v>9</v>
      </c>
      <c r="F32" s="7">
        <v>2</v>
      </c>
    </row>
    <row r="33" spans="1:8" ht="23.4" customHeight="1" x14ac:dyDescent="0.3">
      <c r="A33" s="4" t="s">
        <v>170</v>
      </c>
      <c r="B33" s="5" t="s">
        <v>171</v>
      </c>
      <c r="C33" s="6" t="s">
        <v>7</v>
      </c>
      <c r="D33" s="6" t="s">
        <v>32</v>
      </c>
      <c r="E33" s="14" t="s">
        <v>15</v>
      </c>
      <c r="F33" s="7" t="s">
        <v>33</v>
      </c>
    </row>
    <row r="34" spans="1:8" ht="23.4" customHeight="1" x14ac:dyDescent="0.3">
      <c r="A34" s="4" t="s">
        <v>172</v>
      </c>
      <c r="B34" s="5" t="s">
        <v>173</v>
      </c>
      <c r="C34" s="6" t="s">
        <v>10</v>
      </c>
      <c r="D34" s="6" t="s">
        <v>11</v>
      </c>
      <c r="E34" s="14" t="s">
        <v>9</v>
      </c>
      <c r="F34" s="7">
        <v>1</v>
      </c>
    </row>
    <row r="35" spans="1:8" ht="23.4" customHeight="1" x14ac:dyDescent="0.3">
      <c r="A35" s="4" t="s">
        <v>174</v>
      </c>
      <c r="B35" s="5" t="s">
        <v>175</v>
      </c>
      <c r="C35" s="6" t="s">
        <v>16</v>
      </c>
      <c r="D35" s="6" t="s">
        <v>11</v>
      </c>
      <c r="E35" s="14" t="s">
        <v>17</v>
      </c>
      <c r="F35" s="7">
        <v>2</v>
      </c>
    </row>
    <row r="36" spans="1:8" ht="23.4" customHeight="1" x14ac:dyDescent="0.3">
      <c r="A36" s="9"/>
      <c r="G36" t="s">
        <v>121</v>
      </c>
    </row>
    <row r="37" spans="1:8" ht="23.4" customHeight="1" x14ac:dyDescent="0.3">
      <c r="A37" s="9"/>
      <c r="G37">
        <v>5</v>
      </c>
      <c r="H37">
        <v>5</v>
      </c>
    </row>
    <row r="38" spans="1:8" ht="23.4" customHeight="1" x14ac:dyDescent="0.3">
      <c r="A38" s="10" t="s">
        <v>34</v>
      </c>
      <c r="G38">
        <v>0</v>
      </c>
    </row>
    <row r="39" spans="1:8" ht="23.4" customHeight="1" thickBot="1" x14ac:dyDescent="0.35">
      <c r="A39" s="1" t="s">
        <v>1</v>
      </c>
      <c r="G39">
        <v>3</v>
      </c>
      <c r="H39">
        <v>3</v>
      </c>
    </row>
    <row r="40" spans="1:8" ht="23.4" customHeight="1" x14ac:dyDescent="0.3">
      <c r="A40" s="2" t="s">
        <v>2</v>
      </c>
      <c r="B40" s="2" t="s">
        <v>3</v>
      </c>
      <c r="C40" s="2" t="s">
        <v>4</v>
      </c>
      <c r="D40" s="2" t="s">
        <v>5</v>
      </c>
      <c r="E40" s="2" t="s">
        <v>6</v>
      </c>
      <c r="F40" s="3" t="s">
        <v>176</v>
      </c>
      <c r="G40">
        <v>3</v>
      </c>
    </row>
    <row r="41" spans="1:8" ht="23.4" customHeight="1" x14ac:dyDescent="0.3">
      <c r="A41" s="4" t="s">
        <v>177</v>
      </c>
      <c r="B41" s="5" t="s">
        <v>178</v>
      </c>
      <c r="C41" s="6" t="s">
        <v>10</v>
      </c>
      <c r="D41" s="6" t="s">
        <v>11</v>
      </c>
      <c r="E41" s="15" t="s">
        <v>35</v>
      </c>
      <c r="F41" s="7">
        <v>3</v>
      </c>
      <c r="G41">
        <v>1</v>
      </c>
      <c r="H41">
        <v>1</v>
      </c>
    </row>
    <row r="42" spans="1:8" ht="23.4" customHeight="1" x14ac:dyDescent="0.3">
      <c r="A42" s="4" t="s">
        <v>179</v>
      </c>
      <c r="B42" s="5" t="s">
        <v>36</v>
      </c>
      <c r="C42" s="6" t="s">
        <v>10</v>
      </c>
      <c r="D42" s="6" t="s">
        <v>11</v>
      </c>
      <c r="E42" s="15" t="s">
        <v>35</v>
      </c>
      <c r="F42" s="7">
        <v>3</v>
      </c>
      <c r="G42">
        <v>3</v>
      </c>
      <c r="H42">
        <v>3</v>
      </c>
    </row>
    <row r="43" spans="1:8" ht="23.4" customHeight="1" x14ac:dyDescent="0.3">
      <c r="A43" s="4" t="s">
        <v>180</v>
      </c>
      <c r="B43" s="5" t="s">
        <v>181</v>
      </c>
      <c r="C43" s="6" t="s">
        <v>10</v>
      </c>
      <c r="D43" s="6" t="s">
        <v>11</v>
      </c>
      <c r="E43" s="15" t="s">
        <v>35</v>
      </c>
      <c r="F43" s="7">
        <v>2</v>
      </c>
      <c r="G43">
        <v>2</v>
      </c>
      <c r="H43">
        <v>2</v>
      </c>
    </row>
    <row r="44" spans="1:8" ht="23.4" customHeight="1" x14ac:dyDescent="0.3">
      <c r="A44" s="4"/>
      <c r="B44" s="5"/>
      <c r="C44" s="6"/>
      <c r="D44" s="6"/>
      <c r="E44" s="15"/>
      <c r="F44" s="8"/>
      <c r="G44">
        <v>1</v>
      </c>
    </row>
    <row r="45" spans="1:8" ht="23.4" customHeight="1" x14ac:dyDescent="0.3">
      <c r="A45" s="11"/>
      <c r="B45" s="12"/>
      <c r="C45" s="13"/>
      <c r="D45" s="13"/>
      <c r="E45" s="17"/>
      <c r="F45" s="18"/>
      <c r="G45">
        <v>2</v>
      </c>
    </row>
    <row r="46" spans="1:8" ht="23.4" customHeight="1" x14ac:dyDescent="0.3">
      <c r="A46" s="4"/>
      <c r="B46" s="5"/>
      <c r="C46" s="6"/>
      <c r="D46" s="6"/>
      <c r="E46" s="15"/>
      <c r="F46" s="8"/>
      <c r="G46">
        <v>2</v>
      </c>
    </row>
    <row r="47" spans="1:8" ht="23.4" customHeight="1" x14ac:dyDescent="0.3">
      <c r="A47" s="9"/>
    </row>
    <row r="48" spans="1:8" ht="23.4" customHeight="1" x14ac:dyDescent="0.3">
      <c r="A48" s="9"/>
    </row>
    <row r="49" spans="1:6" ht="23.4" customHeight="1" x14ac:dyDescent="0.3">
      <c r="A49" s="10"/>
    </row>
    <row r="50" spans="1:6" ht="23.4" customHeight="1" thickBot="1" x14ac:dyDescent="0.35">
      <c r="A50" s="1"/>
    </row>
    <row r="51" spans="1:6" ht="23.4" customHeight="1" x14ac:dyDescent="0.3">
      <c r="A51" s="2"/>
      <c r="B51" s="2"/>
      <c r="C51" s="2"/>
      <c r="D51" s="2"/>
      <c r="E51" s="2"/>
      <c r="F51" s="3"/>
    </row>
    <row r="52" spans="1:6" ht="23.4" customHeight="1" x14ac:dyDescent="0.3">
      <c r="A52" s="4"/>
      <c r="B52" s="5"/>
      <c r="C52" s="6"/>
      <c r="D52" s="6"/>
      <c r="E52" s="14"/>
      <c r="F52" s="7"/>
    </row>
  </sheetData>
  <hyperlinks>
    <hyperlink ref="A2" r:id="rId1" display="https://maritzcx.atlassian.net/issues/?jql=issueKey%20in%20(BD-30254%2CBD-30291%2CBD-30343%2CBD-30433%2CBD-30436%2CBD-30444%2CBD-32940%2CBD-33231%2CBD-33587%2CBD-33685%2CBD-33698%2CBD-33700%2CBD-33702%2CBD-33790%2CBD-33904%2CBD-33913%2CBD-33983%2CBD-34145%2CBD-34214%2CBD-34237%2CBD-34238%2CBD-34306%2CBD-34357%2CBD-34368%2CBD-34369%2CBD-34370%2CBD-34546%2CBD-34559%2CBD-34590%2CBD-34719%2CBD-34741%2CBD-34911)"/>
    <hyperlink ref="A4" r:id="rId2" display="https://maritzcx.atlassian.net/browse/BD-30254"/>
    <hyperlink ref="A5" r:id="rId3" display="https://maritzcx.atlassian.net/browse/BD-30291"/>
    <hyperlink ref="A6" r:id="rId4" display="https://maritzcx.atlassian.net/browse/BD-30343"/>
    <hyperlink ref="A7" r:id="rId5" display="https://maritzcx.atlassian.net/browse/BD-30433"/>
    <hyperlink ref="A8" r:id="rId6" display="https://maritzcx.atlassian.net/browse/BD-30436"/>
    <hyperlink ref="A9" r:id="rId7" display="https://maritzcx.atlassian.net/browse/BD-30444"/>
    <hyperlink ref="A10" r:id="rId8" display="https://maritzcx.atlassian.net/browse/BD-32940"/>
    <hyperlink ref="A11" r:id="rId9" display="https://maritzcx.atlassian.net/browse/BD-33231"/>
    <hyperlink ref="A12" r:id="rId10" display="https://maritzcx.atlassian.net/browse/BD-33587"/>
    <hyperlink ref="A13" r:id="rId11" display="https://maritzcx.atlassian.net/browse/BD-33685"/>
    <hyperlink ref="A14" r:id="rId12" display="https://maritzcx.atlassian.net/browse/BD-33698"/>
    <hyperlink ref="A15" r:id="rId13" display="https://maritzcx.atlassian.net/browse/BD-33700"/>
    <hyperlink ref="A16" r:id="rId14" display="https://maritzcx.atlassian.net/browse/BD-33702"/>
    <hyperlink ref="A17" r:id="rId15" display="https://maritzcx.atlassian.net/browse/BD-33790"/>
    <hyperlink ref="A18" r:id="rId16" display="https://maritzcx.atlassian.net/browse/BD-33904"/>
    <hyperlink ref="A19" r:id="rId17" display="https://maritzcx.atlassian.net/browse/BD-33913"/>
    <hyperlink ref="A20" r:id="rId18" display="https://maritzcx.atlassian.net/browse/BD-33983"/>
    <hyperlink ref="A21" r:id="rId19" display="https://maritzcx.atlassian.net/browse/BD-34145"/>
    <hyperlink ref="A22" r:id="rId20" display="https://maritzcx.atlassian.net/browse/BD-34214"/>
    <hyperlink ref="A23" r:id="rId21" display="https://maritzcx.atlassian.net/browse/BD-34237"/>
    <hyperlink ref="A24" r:id="rId22" display="https://maritzcx.atlassian.net/browse/BD-34238"/>
    <hyperlink ref="A25" r:id="rId23" display="https://maritzcx.atlassian.net/browse/BD-34306"/>
    <hyperlink ref="A26" r:id="rId24" display="https://maritzcx.atlassian.net/browse/BD-34357"/>
    <hyperlink ref="A27" r:id="rId25" display="https://maritzcx.atlassian.net/browse/BD-34368"/>
    <hyperlink ref="A28" r:id="rId26" display="https://maritzcx.atlassian.net/browse/BD-34369"/>
    <hyperlink ref="A29" r:id="rId27" display="https://maritzcx.atlassian.net/browse/BD-34370"/>
    <hyperlink ref="A30" r:id="rId28" display="https://maritzcx.atlassian.net/browse/BD-34546"/>
    <hyperlink ref="A31" r:id="rId29" display="https://maritzcx.atlassian.net/browse/BD-34559"/>
    <hyperlink ref="A32" r:id="rId30" display="https://maritzcx.atlassian.net/browse/BD-34590"/>
    <hyperlink ref="A33" r:id="rId31" display="https://maritzcx.atlassian.net/browse/BD-34719"/>
    <hyperlink ref="A34" r:id="rId32" display="https://maritzcx.atlassian.net/browse/BD-34741"/>
    <hyperlink ref="A35" r:id="rId33" display="https://maritzcx.atlassian.net/browse/BD-34911"/>
    <hyperlink ref="A39" r:id="rId34" display="https://maritzcx.atlassian.net/issues/?jql=issueKey%20in%20(BD-31347%2CBD-32487%2CBD-34019)"/>
    <hyperlink ref="A41" r:id="rId35" display="https://maritzcx.atlassian.net/browse/BD-31347"/>
    <hyperlink ref="A42" r:id="rId36" display="https://maritzcx.atlassian.net/browse/BD-32487"/>
    <hyperlink ref="A43" r:id="rId37" display="https://maritzcx.atlassian.net/browse/BD-3401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52"/>
  <sheetViews>
    <sheetView workbookViewId="0">
      <selection activeCell="H8" sqref="H8"/>
    </sheetView>
  </sheetViews>
  <sheetFormatPr defaultColWidth="24.88671875" defaultRowHeight="23.4" customHeight="1" x14ac:dyDescent="0.3"/>
  <cols>
    <col min="1" max="1" width="22.21875" bestFit="1" customWidth="1"/>
    <col min="2" max="2" width="38" bestFit="1" customWidth="1"/>
    <col min="3" max="3" width="10.21875" bestFit="1" customWidth="1"/>
    <col min="4" max="4" width="6.5546875" bestFit="1" customWidth="1"/>
    <col min="5" max="5" width="19.5546875" bestFit="1" customWidth="1"/>
    <col min="6" max="6" width="16" bestFit="1" customWidth="1"/>
  </cols>
  <sheetData>
    <row r="1" spans="1:9" ht="23.4" customHeight="1" x14ac:dyDescent="0.3">
      <c r="A1" s="10" t="s">
        <v>0</v>
      </c>
    </row>
    <row r="2" spans="1:9" ht="23.4" customHeight="1" thickBot="1" x14ac:dyDescent="0.35">
      <c r="A2" s="1" t="s">
        <v>1</v>
      </c>
      <c r="H2" t="e">
        <f>CleanUp()</f>
        <v>#VALUE!</v>
      </c>
    </row>
    <row r="3" spans="1:9" ht="23.4" customHeight="1" x14ac:dyDescent="0.3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3" t="s">
        <v>102</v>
      </c>
      <c r="G3" t="s">
        <v>119</v>
      </c>
      <c r="H3" t="s">
        <v>122</v>
      </c>
      <c r="I3" t="s">
        <v>123</v>
      </c>
    </row>
    <row r="4" spans="1:9" ht="23.4" customHeight="1" x14ac:dyDescent="0.3">
      <c r="A4" s="4" t="s">
        <v>37</v>
      </c>
      <c r="B4" s="5" t="s">
        <v>38</v>
      </c>
      <c r="C4" s="6" t="s">
        <v>10</v>
      </c>
      <c r="D4" s="6" t="s">
        <v>11</v>
      </c>
      <c r="E4" s="14" t="s">
        <v>9</v>
      </c>
      <c r="F4" s="8" t="s">
        <v>106</v>
      </c>
      <c r="H4">
        <v>5</v>
      </c>
      <c r="I4">
        <v>0</v>
      </c>
    </row>
    <row r="5" spans="1:9" ht="23.4" customHeight="1" x14ac:dyDescent="0.3">
      <c r="A5" s="4" t="s">
        <v>39</v>
      </c>
      <c r="B5" s="5" t="s">
        <v>40</v>
      </c>
      <c r="C5" s="6" t="s">
        <v>10</v>
      </c>
      <c r="D5" s="6" t="s">
        <v>11</v>
      </c>
      <c r="E5" s="14" t="s">
        <v>9</v>
      </c>
      <c r="F5" s="8" t="s">
        <v>105</v>
      </c>
      <c r="H5">
        <v>3</v>
      </c>
      <c r="I5">
        <v>5</v>
      </c>
    </row>
    <row r="6" spans="1:9" ht="23.4" customHeight="1" x14ac:dyDescent="0.3">
      <c r="A6" s="4" t="s">
        <v>41</v>
      </c>
      <c r="B6" s="5" t="s">
        <v>42</v>
      </c>
      <c r="C6" s="6" t="s">
        <v>10</v>
      </c>
      <c r="D6" s="6" t="s">
        <v>11</v>
      </c>
      <c r="E6" s="14" t="s">
        <v>9</v>
      </c>
      <c r="F6" s="8" t="s">
        <v>104</v>
      </c>
      <c r="H6">
        <v>2</v>
      </c>
      <c r="I6">
        <v>2</v>
      </c>
    </row>
    <row r="7" spans="1:9" ht="23.4" customHeight="1" x14ac:dyDescent="0.3">
      <c r="A7" s="4" t="s">
        <v>43</v>
      </c>
      <c r="B7" s="5" t="s">
        <v>44</v>
      </c>
      <c r="C7" s="6" t="s">
        <v>16</v>
      </c>
      <c r="D7" s="6" t="s">
        <v>11</v>
      </c>
      <c r="E7" s="14" t="s">
        <v>17</v>
      </c>
      <c r="F7" s="8" t="s">
        <v>103</v>
      </c>
      <c r="H7">
        <v>2</v>
      </c>
      <c r="I7">
        <v>1</v>
      </c>
    </row>
    <row r="8" spans="1:9" ht="23.4" customHeight="1" x14ac:dyDescent="0.3">
      <c r="A8" s="4" t="s">
        <v>45</v>
      </c>
      <c r="B8" s="5" t="s">
        <v>46</v>
      </c>
      <c r="C8" s="6" t="s">
        <v>10</v>
      </c>
      <c r="D8" s="6" t="s">
        <v>11</v>
      </c>
      <c r="E8" s="14" t="s">
        <v>15</v>
      </c>
      <c r="F8" s="7">
        <v>2</v>
      </c>
      <c r="I8">
        <v>2</v>
      </c>
    </row>
    <row r="9" spans="1:9" ht="23.4" customHeight="1" x14ac:dyDescent="0.3">
      <c r="A9" s="4" t="s">
        <v>47</v>
      </c>
      <c r="B9" s="5" t="s">
        <v>48</v>
      </c>
      <c r="C9" s="6" t="s">
        <v>16</v>
      </c>
      <c r="D9" s="6" t="s">
        <v>11</v>
      </c>
      <c r="E9" s="14" t="s">
        <v>17</v>
      </c>
      <c r="F9" s="7">
        <v>0</v>
      </c>
    </row>
    <row r="10" spans="1:9" ht="23.4" customHeight="1" x14ac:dyDescent="0.3">
      <c r="A10" s="4" t="s">
        <v>49</v>
      </c>
      <c r="B10" s="5" t="s">
        <v>50</v>
      </c>
      <c r="C10" s="6" t="s">
        <v>28</v>
      </c>
      <c r="D10" s="6" t="s">
        <v>11</v>
      </c>
      <c r="E10" s="14" t="s">
        <v>27</v>
      </c>
      <c r="F10" s="7">
        <v>2</v>
      </c>
      <c r="I10">
        <v>2</v>
      </c>
    </row>
    <row r="11" spans="1:9" ht="23.4" customHeight="1" x14ac:dyDescent="0.3">
      <c r="A11" s="4" t="s">
        <v>51</v>
      </c>
      <c r="B11" s="5" t="s">
        <v>52</v>
      </c>
      <c r="C11" s="6" t="s">
        <v>10</v>
      </c>
      <c r="D11" s="6" t="s">
        <v>11</v>
      </c>
      <c r="E11" s="14" t="s">
        <v>27</v>
      </c>
      <c r="F11" s="7">
        <v>1</v>
      </c>
      <c r="I11">
        <v>1</v>
      </c>
    </row>
    <row r="12" spans="1:9" ht="23.4" customHeight="1" x14ac:dyDescent="0.3">
      <c r="A12" s="4" t="s">
        <v>53</v>
      </c>
      <c r="B12" s="5" t="s">
        <v>54</v>
      </c>
      <c r="C12" s="6" t="s">
        <v>10</v>
      </c>
      <c r="D12" s="6" t="s">
        <v>11</v>
      </c>
      <c r="E12" s="14" t="s">
        <v>55</v>
      </c>
      <c r="F12" s="7">
        <v>2</v>
      </c>
      <c r="I12">
        <v>2</v>
      </c>
    </row>
    <row r="13" spans="1:9" ht="23.4" customHeight="1" x14ac:dyDescent="0.3">
      <c r="A13" s="4" t="s">
        <v>56</v>
      </c>
      <c r="B13" s="5" t="s">
        <v>57</v>
      </c>
      <c r="C13" s="6" t="s">
        <v>10</v>
      </c>
      <c r="D13" s="6" t="s">
        <v>11</v>
      </c>
      <c r="E13" s="14" t="s">
        <v>55</v>
      </c>
      <c r="F13" s="7">
        <v>2</v>
      </c>
      <c r="I13">
        <v>2</v>
      </c>
    </row>
    <row r="14" spans="1:9" ht="23.4" customHeight="1" x14ac:dyDescent="0.3">
      <c r="A14" s="4" t="s">
        <v>58</v>
      </c>
      <c r="B14" s="5" t="s">
        <v>59</v>
      </c>
      <c r="C14" s="6" t="s">
        <v>10</v>
      </c>
      <c r="D14" s="6" t="s">
        <v>11</v>
      </c>
      <c r="E14" s="14" t="s">
        <v>55</v>
      </c>
      <c r="F14" s="7">
        <v>2</v>
      </c>
      <c r="I14">
        <v>2</v>
      </c>
    </row>
    <row r="15" spans="1:9" ht="23.4" customHeight="1" x14ac:dyDescent="0.3">
      <c r="A15" s="4" t="s">
        <v>60</v>
      </c>
      <c r="B15" s="5" t="s">
        <v>61</v>
      </c>
      <c r="C15" s="6" t="s">
        <v>10</v>
      </c>
      <c r="D15" s="6" t="s">
        <v>11</v>
      </c>
      <c r="E15" s="14" t="s">
        <v>55</v>
      </c>
      <c r="F15" s="7">
        <v>3</v>
      </c>
      <c r="I15">
        <v>3</v>
      </c>
    </row>
    <row r="16" spans="1:9" ht="23.4" customHeight="1" x14ac:dyDescent="0.3">
      <c r="A16" s="4" t="s">
        <v>62</v>
      </c>
      <c r="B16" s="5" t="s">
        <v>63</v>
      </c>
      <c r="C16" s="6" t="s">
        <v>16</v>
      </c>
      <c r="D16" s="6" t="s">
        <v>11</v>
      </c>
      <c r="E16" s="14" t="s">
        <v>17</v>
      </c>
      <c r="F16" s="7">
        <v>1</v>
      </c>
      <c r="I16">
        <v>1</v>
      </c>
    </row>
    <row r="17" spans="1:9" ht="23.4" customHeight="1" x14ac:dyDescent="0.3">
      <c r="A17" s="4" t="s">
        <v>64</v>
      </c>
      <c r="B17" s="5" t="s">
        <v>65</v>
      </c>
      <c r="C17" s="6" t="s">
        <v>16</v>
      </c>
      <c r="D17" s="6" t="s">
        <v>11</v>
      </c>
      <c r="E17" s="14" t="s">
        <v>17</v>
      </c>
      <c r="F17" s="7">
        <v>1</v>
      </c>
      <c r="I17">
        <v>1</v>
      </c>
    </row>
    <row r="18" spans="1:9" ht="23.4" customHeight="1" x14ac:dyDescent="0.3">
      <c r="A18" s="4" t="s">
        <v>66</v>
      </c>
      <c r="B18" s="5" t="s">
        <v>67</v>
      </c>
      <c r="C18" s="6" t="s">
        <v>10</v>
      </c>
      <c r="D18" s="6" t="s">
        <v>11</v>
      </c>
      <c r="E18" s="14" t="s">
        <v>68</v>
      </c>
      <c r="F18" s="7">
        <v>2</v>
      </c>
      <c r="I18">
        <v>2</v>
      </c>
    </row>
    <row r="19" spans="1:9" ht="23.4" customHeight="1" x14ac:dyDescent="0.3">
      <c r="A19" s="4" t="s">
        <v>69</v>
      </c>
      <c r="B19" s="5" t="s">
        <v>70</v>
      </c>
      <c r="C19" s="6" t="s">
        <v>10</v>
      </c>
      <c r="D19" s="6" t="s">
        <v>11</v>
      </c>
      <c r="E19" s="14" t="s">
        <v>15</v>
      </c>
      <c r="F19" s="8" t="s">
        <v>106</v>
      </c>
      <c r="I19">
        <v>0</v>
      </c>
    </row>
    <row r="20" spans="1:9" ht="23.4" customHeight="1" x14ac:dyDescent="0.3">
      <c r="A20" s="4" t="s">
        <v>71</v>
      </c>
      <c r="B20" s="5" t="s">
        <v>72</v>
      </c>
      <c r="C20" s="6" t="s">
        <v>16</v>
      </c>
      <c r="D20" s="6" t="s">
        <v>11</v>
      </c>
      <c r="E20" s="14" t="s">
        <v>17</v>
      </c>
      <c r="F20" s="7">
        <v>1</v>
      </c>
      <c r="I20">
        <v>1</v>
      </c>
    </row>
    <row r="21" spans="1:9" ht="23.4" customHeight="1" x14ac:dyDescent="0.3">
      <c r="A21" s="4" t="s">
        <v>73</v>
      </c>
      <c r="B21" s="5" t="s">
        <v>74</v>
      </c>
      <c r="C21" s="6" t="s">
        <v>7</v>
      </c>
      <c r="D21" s="6" t="s">
        <v>8</v>
      </c>
      <c r="E21" s="14" t="s">
        <v>15</v>
      </c>
      <c r="F21" s="7">
        <v>2</v>
      </c>
      <c r="I21">
        <v>2</v>
      </c>
    </row>
    <row r="22" spans="1:9" ht="23.4" customHeight="1" x14ac:dyDescent="0.3">
      <c r="A22" s="4" t="s">
        <v>75</v>
      </c>
      <c r="B22" s="5" t="s">
        <v>76</v>
      </c>
      <c r="C22" s="6" t="s">
        <v>16</v>
      </c>
      <c r="D22" s="6" t="s">
        <v>11</v>
      </c>
      <c r="E22" s="14" t="s">
        <v>17</v>
      </c>
      <c r="F22" s="7">
        <v>1</v>
      </c>
      <c r="I22">
        <v>1</v>
      </c>
    </row>
    <row r="23" spans="1:9" ht="23.4" customHeight="1" x14ac:dyDescent="0.3">
      <c r="A23" s="4" t="s">
        <v>77</v>
      </c>
      <c r="B23" s="5" t="s">
        <v>78</v>
      </c>
      <c r="C23" s="6" t="s">
        <v>16</v>
      </c>
      <c r="D23" s="6" t="s">
        <v>11</v>
      </c>
      <c r="E23" s="14" t="s">
        <v>17</v>
      </c>
      <c r="F23" s="8" t="s">
        <v>105</v>
      </c>
    </row>
    <row r="24" spans="1:9" ht="23.4" customHeight="1" x14ac:dyDescent="0.3">
      <c r="A24" s="4" t="s">
        <v>79</v>
      </c>
      <c r="B24" s="5" t="s">
        <v>80</v>
      </c>
      <c r="C24" s="6" t="s">
        <v>7</v>
      </c>
      <c r="D24" s="6" t="s">
        <v>81</v>
      </c>
      <c r="E24" s="14" t="s">
        <v>15</v>
      </c>
      <c r="F24" s="7">
        <v>2</v>
      </c>
      <c r="I24">
        <v>2</v>
      </c>
    </row>
    <row r="25" spans="1:9" ht="23.4" customHeight="1" x14ac:dyDescent="0.3">
      <c r="A25" s="4" t="s">
        <v>82</v>
      </c>
      <c r="B25" s="5" t="s">
        <v>83</v>
      </c>
      <c r="C25" s="6" t="s">
        <v>7</v>
      </c>
      <c r="D25" s="6" t="s">
        <v>81</v>
      </c>
      <c r="E25" s="14" t="s">
        <v>15</v>
      </c>
      <c r="F25" s="7" t="s">
        <v>33</v>
      </c>
      <c r="I25">
        <v>0</v>
      </c>
    </row>
    <row r="26" spans="1:9" ht="23.4" customHeight="1" x14ac:dyDescent="0.3">
      <c r="A26" s="4" t="s">
        <v>84</v>
      </c>
      <c r="B26" s="5" t="s">
        <v>85</v>
      </c>
      <c r="C26" s="6" t="s">
        <v>10</v>
      </c>
      <c r="D26" s="6" t="s">
        <v>11</v>
      </c>
      <c r="E26" s="14" t="s">
        <v>15</v>
      </c>
      <c r="F26" s="8" t="s">
        <v>103</v>
      </c>
    </row>
    <row r="27" spans="1:9" ht="23.4" customHeight="1" x14ac:dyDescent="0.3">
      <c r="A27" s="4" t="s">
        <v>86</v>
      </c>
      <c r="B27" s="5" t="s">
        <v>87</v>
      </c>
      <c r="C27" s="6" t="s">
        <v>7</v>
      </c>
      <c r="D27" s="6" t="s">
        <v>81</v>
      </c>
      <c r="E27" s="14" t="s">
        <v>15</v>
      </c>
      <c r="F27" s="8" t="s">
        <v>103</v>
      </c>
    </row>
    <row r="28" spans="1:9" ht="23.4" customHeight="1" x14ac:dyDescent="0.3">
      <c r="A28" s="4" t="s">
        <v>88</v>
      </c>
      <c r="B28" s="5" t="s">
        <v>89</v>
      </c>
      <c r="C28" s="6" t="s">
        <v>10</v>
      </c>
      <c r="D28" s="6" t="s">
        <v>11</v>
      </c>
      <c r="E28" s="14" t="s">
        <v>55</v>
      </c>
      <c r="F28" s="8" t="s">
        <v>104</v>
      </c>
    </row>
    <row r="29" spans="1:9" ht="23.4" customHeight="1" x14ac:dyDescent="0.3">
      <c r="A29" s="4" t="s">
        <v>90</v>
      </c>
      <c r="B29" s="5" t="s">
        <v>91</v>
      </c>
      <c r="C29" s="6" t="s">
        <v>7</v>
      </c>
      <c r="D29" s="6" t="s">
        <v>81</v>
      </c>
      <c r="E29" s="14" t="s">
        <v>15</v>
      </c>
      <c r="F29" s="8" t="s">
        <v>103</v>
      </c>
    </row>
    <row r="30" spans="1:9" ht="23.4" customHeight="1" x14ac:dyDescent="0.3">
      <c r="A30" s="4" t="s">
        <v>92</v>
      </c>
      <c r="B30" s="5" t="s">
        <v>93</v>
      </c>
      <c r="C30" s="6" t="s">
        <v>7</v>
      </c>
      <c r="D30" s="6" t="s">
        <v>32</v>
      </c>
      <c r="E30" s="14" t="s">
        <v>15</v>
      </c>
      <c r="F30" s="8" t="s">
        <v>103</v>
      </c>
    </row>
    <row r="31" spans="1:9" ht="23.4" customHeight="1" x14ac:dyDescent="0.3">
      <c r="A31" s="4" t="s">
        <v>94</v>
      </c>
      <c r="B31" s="5" t="s">
        <v>95</v>
      </c>
      <c r="C31" s="6" t="s">
        <v>16</v>
      </c>
      <c r="D31" s="6" t="s">
        <v>11</v>
      </c>
      <c r="E31" s="14" t="s">
        <v>17</v>
      </c>
      <c r="F31" s="7">
        <v>0</v>
      </c>
    </row>
    <row r="32" spans="1:9" ht="23.4" customHeight="1" x14ac:dyDescent="0.3">
      <c r="A32" s="9"/>
    </row>
    <row r="33" spans="1:8" ht="23.4" customHeight="1" x14ac:dyDescent="0.3">
      <c r="A33" s="9"/>
    </row>
    <row r="34" spans="1:8" ht="23.4" customHeight="1" x14ac:dyDescent="0.3">
      <c r="A34" s="10" t="s">
        <v>34</v>
      </c>
    </row>
    <row r="35" spans="1:8" ht="23.4" customHeight="1" thickBot="1" x14ac:dyDescent="0.35">
      <c r="A35" s="1" t="s">
        <v>1</v>
      </c>
    </row>
    <row r="36" spans="1:8" ht="23.4" customHeight="1" x14ac:dyDescent="0.3">
      <c r="A36" s="2" t="s">
        <v>2</v>
      </c>
      <c r="B36" s="2" t="s">
        <v>3</v>
      </c>
      <c r="C36" s="2" t="s">
        <v>4</v>
      </c>
      <c r="D36" s="2" t="s">
        <v>5</v>
      </c>
      <c r="E36" s="2" t="s">
        <v>6</v>
      </c>
      <c r="F36" s="3" t="s">
        <v>107</v>
      </c>
      <c r="G36" t="s">
        <v>121</v>
      </c>
    </row>
    <row r="37" spans="1:8" ht="23.4" customHeight="1" x14ac:dyDescent="0.3">
      <c r="A37" s="4" t="s">
        <v>12</v>
      </c>
      <c r="B37" s="5" t="s">
        <v>13</v>
      </c>
      <c r="C37" s="6" t="s">
        <v>10</v>
      </c>
      <c r="D37" s="6" t="s">
        <v>11</v>
      </c>
      <c r="E37" s="15" t="s">
        <v>35</v>
      </c>
      <c r="F37" s="7">
        <v>5</v>
      </c>
      <c r="G37">
        <v>5</v>
      </c>
      <c r="H37">
        <v>5</v>
      </c>
    </row>
    <row r="38" spans="1:8" ht="23.4" customHeight="1" x14ac:dyDescent="0.3">
      <c r="A38" s="4" t="s">
        <v>96</v>
      </c>
      <c r="B38" s="5" t="s">
        <v>14</v>
      </c>
      <c r="C38" s="6" t="s">
        <v>10</v>
      </c>
      <c r="D38" s="6" t="s">
        <v>11</v>
      </c>
      <c r="E38" s="16" t="s">
        <v>97</v>
      </c>
      <c r="F38" s="7">
        <v>0</v>
      </c>
      <c r="G38">
        <v>0</v>
      </c>
    </row>
    <row r="39" spans="1:8" ht="23.4" customHeight="1" x14ac:dyDescent="0.3">
      <c r="A39" s="4" t="s">
        <v>18</v>
      </c>
      <c r="B39" s="5" t="s">
        <v>19</v>
      </c>
      <c r="C39" s="6" t="s">
        <v>10</v>
      </c>
      <c r="D39" s="6" t="s">
        <v>11</v>
      </c>
      <c r="E39" s="15" t="s">
        <v>35</v>
      </c>
      <c r="F39" s="7">
        <v>3</v>
      </c>
      <c r="G39">
        <v>3</v>
      </c>
      <c r="H39">
        <v>3</v>
      </c>
    </row>
    <row r="40" spans="1:8" ht="23.4" customHeight="1" x14ac:dyDescent="0.3">
      <c r="A40" s="4" t="s">
        <v>98</v>
      </c>
      <c r="B40" s="5" t="s">
        <v>36</v>
      </c>
      <c r="C40" s="6" t="s">
        <v>10</v>
      </c>
      <c r="D40" s="6" t="s">
        <v>11</v>
      </c>
      <c r="E40" s="15" t="s">
        <v>35</v>
      </c>
      <c r="F40" s="7">
        <v>3</v>
      </c>
      <c r="G40">
        <v>3</v>
      </c>
    </row>
    <row r="41" spans="1:8" ht="23.4" customHeight="1" x14ac:dyDescent="0.3">
      <c r="A41" s="4" t="s">
        <v>20</v>
      </c>
      <c r="B41" s="5" t="s">
        <v>21</v>
      </c>
      <c r="C41" s="6" t="s">
        <v>10</v>
      </c>
      <c r="D41" s="6" t="s">
        <v>11</v>
      </c>
      <c r="E41" s="15" t="s">
        <v>35</v>
      </c>
      <c r="F41" s="7">
        <v>1</v>
      </c>
      <c r="G41">
        <v>1</v>
      </c>
      <c r="H41">
        <v>1</v>
      </c>
    </row>
    <row r="42" spans="1:8" ht="23.4" customHeight="1" x14ac:dyDescent="0.3">
      <c r="A42" s="4" t="s">
        <v>22</v>
      </c>
      <c r="B42" s="5" t="s">
        <v>23</v>
      </c>
      <c r="C42" s="6" t="s">
        <v>10</v>
      </c>
      <c r="D42" s="6" t="s">
        <v>11</v>
      </c>
      <c r="E42" s="15" t="s">
        <v>35</v>
      </c>
      <c r="F42" s="7">
        <v>3</v>
      </c>
      <c r="G42">
        <v>3</v>
      </c>
      <c r="H42">
        <v>3</v>
      </c>
    </row>
    <row r="43" spans="1:8" ht="23.4" customHeight="1" x14ac:dyDescent="0.3">
      <c r="A43" s="4" t="s">
        <v>24</v>
      </c>
      <c r="B43" s="5" t="s">
        <v>25</v>
      </c>
      <c r="C43" s="6" t="s">
        <v>16</v>
      </c>
      <c r="D43" s="6" t="s">
        <v>11</v>
      </c>
      <c r="E43" s="15" t="s">
        <v>35</v>
      </c>
      <c r="F43" s="7">
        <v>2</v>
      </c>
      <c r="G43">
        <v>2</v>
      </c>
      <c r="H43">
        <v>2</v>
      </c>
    </row>
    <row r="44" spans="1:8" ht="23.4" customHeight="1" x14ac:dyDescent="0.3">
      <c r="A44" s="4" t="s">
        <v>99</v>
      </c>
      <c r="B44" s="5" t="s">
        <v>26</v>
      </c>
      <c r="C44" s="6" t="s">
        <v>16</v>
      </c>
      <c r="D44" s="6" t="s">
        <v>11</v>
      </c>
      <c r="E44" s="15" t="s">
        <v>35</v>
      </c>
      <c r="F44" s="8" t="s">
        <v>103</v>
      </c>
      <c r="G44">
        <v>1</v>
      </c>
    </row>
    <row r="45" spans="1:8" ht="23.4" customHeight="1" x14ac:dyDescent="0.3">
      <c r="A45" s="11" t="s">
        <v>100</v>
      </c>
      <c r="B45" s="12" t="s">
        <v>29</v>
      </c>
      <c r="C45" s="13" t="s">
        <v>7</v>
      </c>
      <c r="D45" s="13" t="s">
        <v>30</v>
      </c>
      <c r="E45" s="17" t="s">
        <v>35</v>
      </c>
      <c r="F45" s="18" t="s">
        <v>104</v>
      </c>
      <c r="G45">
        <v>2</v>
      </c>
    </row>
    <row r="46" spans="1:8" ht="23.4" customHeight="1" x14ac:dyDescent="0.3">
      <c r="A46" s="4" t="s">
        <v>101</v>
      </c>
      <c r="B46" s="5" t="s">
        <v>31</v>
      </c>
      <c r="C46" s="6" t="s">
        <v>7</v>
      </c>
      <c r="D46" s="6" t="s">
        <v>30</v>
      </c>
      <c r="E46" s="15" t="s">
        <v>35</v>
      </c>
      <c r="F46" s="8" t="s">
        <v>104</v>
      </c>
      <c r="G46">
        <v>2</v>
      </c>
    </row>
    <row r="47" spans="1:8" ht="23.4" customHeight="1" x14ac:dyDescent="0.3">
      <c r="A47" s="9"/>
    </row>
    <row r="48" spans="1:8" ht="23.4" customHeight="1" x14ac:dyDescent="0.3">
      <c r="A48" s="9"/>
    </row>
    <row r="49" spans="1:6" ht="23.4" customHeight="1" x14ac:dyDescent="0.3">
      <c r="A49" s="10" t="s">
        <v>114</v>
      </c>
    </row>
    <row r="50" spans="1:6" ht="23.4" customHeight="1" thickBot="1" x14ac:dyDescent="0.35">
      <c r="A50" s="1" t="s">
        <v>1</v>
      </c>
    </row>
    <row r="51" spans="1:6" ht="23.4" customHeight="1" x14ac:dyDescent="0.3">
      <c r="A51" s="2" t="s">
        <v>2</v>
      </c>
      <c r="B51" s="2" t="s">
        <v>3</v>
      </c>
      <c r="C51" s="2" t="s">
        <v>4</v>
      </c>
      <c r="D51" s="2" t="s">
        <v>5</v>
      </c>
      <c r="E51" s="2" t="s">
        <v>6</v>
      </c>
      <c r="F51" s="3" t="s">
        <v>115</v>
      </c>
    </row>
    <row r="52" spans="1:6" ht="23.4" customHeight="1" x14ac:dyDescent="0.3">
      <c r="A52" s="4" t="s">
        <v>116</v>
      </c>
      <c r="B52" s="5" t="s">
        <v>117</v>
      </c>
      <c r="C52" s="6" t="s">
        <v>7</v>
      </c>
      <c r="D52" s="6" t="s">
        <v>8</v>
      </c>
      <c r="E52" s="14" t="s">
        <v>118</v>
      </c>
      <c r="F52" s="7" t="s">
        <v>33</v>
      </c>
    </row>
  </sheetData>
  <hyperlinks>
    <hyperlink ref="A2" r:id="rId1" display="https://maritzcx.atlassian.net/issues/?jql=issueKey%20in%20(BD-30224%2CBD-30336%2CBD-30344%2CBD-30442%2CBD-30619%2CBD-32101%2CBD-32550%2CBD-32753%2CBD-32941%2CBD-32942%2CBD-32944%2CBD-32945%2CBD-33167%2CBD-33336%2CBD-33341%2CBD-33489%2CBD-33537%2CBD-33553%2CBD-33556%2CBD-33694%2CBD-33704%2CBD-33782%2CBD-33791%2CBD-33896%2CBD-33969%2CBD-34225%2CBD-34307%2CBD-34354)"/>
    <hyperlink ref="A4" r:id="rId2" display="https://maritzcx.atlassian.net/browse/BD-30224"/>
    <hyperlink ref="A5" r:id="rId3" display="https://maritzcx.atlassian.net/browse/BD-30336"/>
    <hyperlink ref="A6" r:id="rId4" display="https://maritzcx.atlassian.net/browse/BD-30344"/>
    <hyperlink ref="A7" r:id="rId5" display="https://maritzcx.atlassian.net/browse/BD-30442"/>
    <hyperlink ref="A8" r:id="rId6" display="https://maritzcx.atlassian.net/browse/BD-30619"/>
    <hyperlink ref="A9" r:id="rId7" display="https://maritzcx.atlassian.net/browse/BD-32101"/>
    <hyperlink ref="A10" r:id="rId8" display="https://maritzcx.atlassian.net/browse/BD-32550"/>
    <hyperlink ref="A11" r:id="rId9" display="https://maritzcx.atlassian.net/browse/BD-32753"/>
    <hyperlink ref="A12" r:id="rId10" display="https://maritzcx.atlassian.net/browse/BD-32941"/>
    <hyperlink ref="A13" r:id="rId11" display="https://maritzcx.atlassian.net/browse/BD-32942"/>
    <hyperlink ref="A14" r:id="rId12" display="https://maritzcx.atlassian.net/browse/BD-32944"/>
    <hyperlink ref="A15" r:id="rId13" display="https://maritzcx.atlassian.net/browse/BD-32945"/>
    <hyperlink ref="A16" r:id="rId14" display="https://maritzcx.atlassian.net/browse/BD-33167"/>
    <hyperlink ref="A17" r:id="rId15" display="https://maritzcx.atlassian.net/browse/BD-33336"/>
    <hyperlink ref="A18" r:id="rId16" display="https://maritzcx.atlassian.net/browse/BD-33341"/>
    <hyperlink ref="A19" r:id="rId17" display="https://maritzcx.atlassian.net/browse/BD-33489"/>
    <hyperlink ref="A20" r:id="rId18" display="https://maritzcx.atlassian.net/browse/BD-33537"/>
    <hyperlink ref="A21" r:id="rId19" display="https://maritzcx.atlassian.net/browse/BD-33553"/>
    <hyperlink ref="A22" r:id="rId20" display="https://maritzcx.atlassian.net/browse/BD-33556"/>
    <hyperlink ref="A23" r:id="rId21" display="https://maritzcx.atlassian.net/browse/BD-33694"/>
    <hyperlink ref="A24" r:id="rId22" display="https://maritzcx.atlassian.net/browse/BD-33704"/>
    <hyperlink ref="A25" r:id="rId23" display="https://maritzcx.atlassian.net/browse/BD-33782"/>
    <hyperlink ref="A26" r:id="rId24" display="https://maritzcx.atlassian.net/browse/BD-33791"/>
    <hyperlink ref="A27" r:id="rId25" display="https://maritzcx.atlassian.net/browse/BD-33896"/>
    <hyperlink ref="A28" r:id="rId26" display="https://maritzcx.atlassian.net/browse/BD-33969"/>
    <hyperlink ref="A29" r:id="rId27" display="https://maritzcx.atlassian.net/browse/BD-34225"/>
    <hyperlink ref="A30" r:id="rId28" display="https://maritzcx.atlassian.net/browse/BD-34307"/>
    <hyperlink ref="A31" r:id="rId29" display="https://maritzcx.atlassian.net/browse/BD-34354"/>
    <hyperlink ref="A35" r:id="rId30" display="https://maritzcx.atlassian.net/issues/?jql=issueKey%20in%20(BD-30343%2CBD-30433%2CBD-30444%2CBD-32487%2CBD-32940%2CBD-33231%2CBD-33685%2CBD-33790%2CBD-34214%2CBD-34306)"/>
    <hyperlink ref="A37" r:id="rId31" display="https://maritzcx.atlassian.net/browse/BD-30343"/>
    <hyperlink ref="A38" r:id="rId32" display="https://maritzcx.atlassian.net/browse/BD-30433"/>
    <hyperlink ref="A39" r:id="rId33" display="https://maritzcx.atlassian.net/browse/BD-30444"/>
    <hyperlink ref="A40" r:id="rId34" display="https://maritzcx.atlassian.net/browse/BD-32487"/>
    <hyperlink ref="A41" r:id="rId35" display="https://maritzcx.atlassian.net/browse/BD-32940"/>
    <hyperlink ref="A42" r:id="rId36" display="https://maritzcx.atlassian.net/browse/BD-33231"/>
    <hyperlink ref="A43" r:id="rId37" display="https://maritzcx.atlassian.net/browse/BD-33685"/>
    <hyperlink ref="A44" r:id="rId38" display="https://maritzcx.atlassian.net/browse/BD-33790"/>
    <hyperlink ref="A45" r:id="rId39" display="https://maritzcx.atlassian.net/browse/BD-34214"/>
    <hyperlink ref="A46" r:id="rId40" display="https://maritzcx.atlassian.net/browse/BD-34306"/>
    <hyperlink ref="A50" r:id="rId41" display="https://maritzcx.atlassian.net/issues/?jql=issueKey%20in%20(BD-34203)"/>
    <hyperlink ref="A52" r:id="rId42" display="https://maritzcx.atlassian.net/browse/BD-34203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5"/>
  <sheetViews>
    <sheetView workbookViewId="0">
      <selection activeCell="B5" sqref="B5"/>
    </sheetView>
  </sheetViews>
  <sheetFormatPr defaultColWidth="18.5546875" defaultRowHeight="14.4" x14ac:dyDescent="0.3"/>
  <sheetData>
    <row r="1" spans="1:7" ht="15" thickBot="1" x14ac:dyDescent="0.35">
      <c r="A1" s="19" t="s">
        <v>182</v>
      </c>
      <c r="B1" s="20" t="s">
        <v>123</v>
      </c>
      <c r="C1" s="20" t="s">
        <v>183</v>
      </c>
      <c r="D1" s="20" t="s">
        <v>120</v>
      </c>
      <c r="E1" s="20" t="s">
        <v>184</v>
      </c>
      <c r="F1" s="20" t="s">
        <v>185</v>
      </c>
      <c r="G1" s="20" t="s">
        <v>186</v>
      </c>
    </row>
    <row r="2" spans="1:7" ht="15" thickBot="1" x14ac:dyDescent="0.35">
      <c r="A2" s="21">
        <v>70</v>
      </c>
      <c r="B2" s="22" t="e">
        <f ca="1">SumByColor(#REF!,$G$6)</f>
        <v>#NAME?</v>
      </c>
      <c r="C2" s="23" t="e">
        <f ca="1">B2/A2</f>
        <v>#NAME?</v>
      </c>
      <c r="D2" s="22">
        <v>71</v>
      </c>
      <c r="E2" s="23">
        <f>D2/A2</f>
        <v>1.0142857142857142</v>
      </c>
      <c r="F2" s="24">
        <f>COUNTIF($C$3:$C$34,$G$8)</f>
        <v>0</v>
      </c>
      <c r="G2" s="24">
        <f>COUNTIF($C$3:$C$34,$G$9)</f>
        <v>0</v>
      </c>
    </row>
    <row r="5" spans="1:7" x14ac:dyDescent="0.3">
      <c r="A5" t="s">
        <v>187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Sprint 16</vt:lpstr>
      <vt:lpstr>Sprint 17</vt:lpstr>
      <vt:lpstr>Sheet1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Jayraj Vahadane</dc:creator>
  <cp:lastModifiedBy>Jayraj Vahadane</cp:lastModifiedBy>
  <dcterms:created xsi:type="dcterms:W3CDTF">2018-09-07T11:39:18Z</dcterms:created>
  <dcterms:modified xsi:type="dcterms:W3CDTF">2018-09-13T14:15:14Z</dcterms:modified>
</cp:coreProperties>
</file>