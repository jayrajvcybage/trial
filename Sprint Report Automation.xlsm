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to\trial\"/>
    </mc:Choice>
  </mc:AlternateContent>
  <bookViews>
    <workbookView xWindow="0" yWindow="0" windowWidth="23040" windowHeight="9216" activeTab="1"/>
  </bookViews>
  <sheets>
    <sheet name="Instructions" sheetId="9" r:id="rId1"/>
    <sheet name="Sheet1" sheetId="5" r:id="rId2"/>
    <sheet name="Dashboard" sheetId="6" r:id="rId3"/>
  </sheets>
  <functionGroups builtInGroupCount="18"/>
  <definedNames>
    <definedName name="_xlnm._FilterDatabase" localSheetId="1" hidden="1">Sheet1!$C$3:$J$29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sharedStrings.xml><?xml version="1.0" encoding="utf-8"?>
<sst xmlns="http://schemas.openxmlformats.org/spreadsheetml/2006/main" count="157" uniqueCount="92">
  <si>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</si>
  <si>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</si>
  <si>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</si>
  <si>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</si>
  <si>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</si>
  <si>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</si>
  <si>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</si>
  <si>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</si>
  <si>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ACCEPTED</t>
  </si>
  <si>
    <t>Story</t>
  </si>
  <si>
    <t>None</t>
  </si>
  <si>
    <t>Task</t>
  </si>
  <si>
    <t>DONE</t>
  </si>
  <si>
    <t>Technical Debt</t>
  </si>
  <si>
    <t>Issues Not Completed</t>
  </si>
  <si>
    <t>IN PROGRESS</t>
  </si>
  <si>
    <t>Priority 1</t>
  </si>
  <si>
    <t>Issues Removed From Sprint</t>
  </si>
  <si>
    <t>Total Completed</t>
  </si>
  <si>
    <t>Total Incomplete</t>
  </si>
  <si>
    <t>Total Committed</t>
  </si>
  <si>
    <t>Committed Completed</t>
  </si>
  <si>
    <t>Committed</t>
  </si>
  <si>
    <t>Acceptance Rate</t>
  </si>
  <si>
    <t>Completion Rate</t>
  </si>
  <si>
    <t>Delivered Value</t>
  </si>
  <si>
    <t>Bugs Fixed</t>
  </si>
  <si>
    <t>Note: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</si>
  <si>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</si>
  <si>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</si>
  <si>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</si>
  <si>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</si>
  <si>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</si>
  <si>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</si>
  <si>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</si>
  <si>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</si>
  <si>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</si>
  <si>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</si>
  <si>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</si>
  <si>
    <t>Priority 2</t>
  </si>
  <si>
    <t>Added after sprint planning</t>
  </si>
  <si>
    <t>Total added after sprint planning</t>
  </si>
  <si>
    <t>Delivered Value in Points</t>
  </si>
  <si>
    <t>Bug Fixed in Points</t>
  </si>
  <si>
    <t>Final Completed</t>
  </si>
  <si>
    <t>CLOSED</t>
  </si>
  <si>
    <t>IN PRODUCTION</t>
  </si>
  <si>
    <t>Priority 3</t>
  </si>
  <si>
    <t>-</t>
  </si>
  <si>
    <t>Story Points (5)</t>
  </si>
  <si>
    <t>BD-31348</t>
  </si>
  <si>
    <t>CaseIH-C008-Update Monthly Region Quality Alert Summary Email</t>
  </si>
  <si>
    <t>BD-35035</t>
  </si>
  <si>
    <t>NNA-E18077-Add Q15f to end of Sales BI Dealer Files</t>
  </si>
  <si>
    <t>BD-35047</t>
  </si>
  <si>
    <t>NNA-E17034-3b-Change Benchmark Column to full name</t>
  </si>
  <si>
    <t>BD-35054</t>
  </si>
  <si>
    <t>NNA-E16098-3-Webpage guide POC</t>
  </si>
  <si>
    <t>BD-35244</t>
  </si>
  <si>
    <t>NNA - Scoring Analysis for BD-30345</t>
  </si>
  <si>
    <t>BD-35382</t>
  </si>
  <si>
    <t>Security Investigation - All 3 Tempest Programs</t>
  </si>
  <si>
    <t>BD-35470</t>
  </si>
  <si>
    <t>NNA-E18036-Add Callout to Scored Column and KPI Index</t>
  </si>
  <si>
    <t>BD-35663</t>
  </si>
  <si>
    <t>NNA-17135-Survey Appeal Request Change Submit Button to Proceed</t>
  </si>
  <si>
    <t>BD-35686</t>
  </si>
  <si>
    <t>NNA-Bug-TE/TQ files missing large amounts of data.</t>
  </si>
  <si>
    <t>BD-35982</t>
  </si>
  <si>
    <t>Case IH-Bug-Survey List Filter Bug</t>
  </si>
  <si>
    <t>BD-36100</t>
  </si>
  <si>
    <t>Tempest Sprint 2018 19 - BUFFER</t>
  </si>
  <si>
    <t>BD-36237 *</t>
  </si>
  <si>
    <t>NNA - BUG - Excel Scheduler Downloads</t>
  </si>
  <si>
    <t>BD-36238 *</t>
  </si>
  <si>
    <t>NNA - BUG - Excel Scheduler issue</t>
  </si>
  <si>
    <t>BD-36281 *</t>
  </si>
  <si>
    <t>NNA - E18014 - Launch Tampering Items</t>
  </si>
  <si>
    <t>BD-36502 *</t>
  </si>
  <si>
    <t>Case IH-Bug-Dashboard Missing Data</t>
  </si>
  <si>
    <t>BD-36578 *</t>
  </si>
  <si>
    <t>CaseIH-Bug- Webservice Password authentication error</t>
  </si>
  <si>
    <t>Story Points (2)</t>
  </si>
  <si>
    <t>BD-35440</t>
  </si>
  <si>
    <t>NNA - Tampering Notification letter not BCCd</t>
  </si>
  <si>
    <t>BD-35037</t>
  </si>
  <si>
    <t>NNA-E18077-Add Q15f to end of Sales BI Employee Files</t>
  </si>
  <si>
    <t>READY FOR DEVELOPMENT</t>
  </si>
  <si>
    <t>BD-35664</t>
  </si>
  <si>
    <t>NNA-17135-Add and Update Appeal Approval Reject Options --Due by October 5</t>
  </si>
  <si>
    <t>Story Points (32 #30)</t>
  </si>
  <si>
    <t>3 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</si>
</sst>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  <font>
      <sz val="7"/>
      <color rgb="FF0052CC"/>
      <name val="Segoe UI"/>
      <family val="2"/>
    </font>
    <font>
      <sz val="7"/>
      <color rgb="FF42526E"/>
      <name val="Segoe UI"/>
      <family val="2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sz val="7"/>
      <color rgb="FF42526E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6" fillId="0" borderId="6" xfId="0" applyFont="1" applyBorder="1" applyAlignment="1">
      <alignment vertical="top"/>
    </xf>
    <xf numFmtId="0" fontId="6" fillId="0" borderId="6" xfId="0" applyFont="1" applyBorder="1" applyAlignment="1">
      <alignment vertical="top" wrapText="1"/>
    </xf>
    <xf numFmtId="0" fontId="6" fillId="0" borderId="6" xfId="0" applyFont="1" applyBorder="1"/>
    <xf numFmtId="0" fontId="7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9" fontId="10" fillId="0" borderId="5" xfId="0" applyNumberFormat="1" applyFont="1" applyBorder="1" applyAlignment="1">
      <alignment horizontal="center" vertical="center" wrapText="1"/>
    </xf>
    <xf numFmtId="0" fontId="6" fillId="0" borderId="0" xfId="0" applyFont="1"/>
    <xf numFmtId="0" fontId="5" fillId="0" borderId="6" xfId="0" applyFont="1" applyBorder="1"/>
    <xf numFmtId="0" fontId="12" fillId="2" borderId="0" xfId="0" applyFont="1" applyFill="1" applyAlignment="1">
      <alignment horizontal="left" vertical="top"/>
    </xf>
    <xf numFmtId="0" fontId="4" fillId="3" borderId="0" xfId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/>
    </xf>
    <xf numFmtId="0" fontId="13" fillId="2" borderId="0" xfId="0" applyFont="1" applyFill="1" applyAlignment="1">
      <alignment horizontal="left" vertical="top"/>
    </xf>
    <xf numFmtId="0" fontId="8" fillId="0" borderId="9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5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7" fillId="2" borderId="0" xfId="0" applyFont="1" applyFill="1" applyAlignment="1">
      <alignment horizontal="left" vertical="top"/>
    </xf>
    <xf numFmtId="0" fontId="16" fillId="3" borderId="0" xfId="0" applyFont="1" applyFill="1" applyAlignment="1">
      <alignment horizontal="left" vertical="top"/>
    </xf>
    <xf numFmtId="0" fontId="2" fillId="3" borderId="0" xfId="0" applyFont="1" applyFill="1" applyAlignment="1">
      <alignment horizontal="righ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4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5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5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52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053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054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55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05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057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058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059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2060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61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062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2063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06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206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06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067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2068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069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2070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2071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2072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07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074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17</xdr:row>
          <xdr:rowOff>91440</xdr:rowOff>
        </xdr:from>
        <xdr:to>
          <xdr:col>3</xdr:col>
          <xdr:colOff>739140</xdr:colOff>
          <xdr:row>19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35470" TargetMode="External"/><Relationship Id="rId13" Type="http://schemas.openxmlformats.org/officeDocument/2006/relationships/hyperlink" Target="https://maritzcx.atlassian.net/browse/BD-36237" TargetMode="External"/><Relationship Id="rId18" Type="http://schemas.openxmlformats.org/officeDocument/2006/relationships/hyperlink" Target="https://maritzcx.atlassian.net/issues/?jql=issueKey%20in%20(BD-35440)" TargetMode="External"/><Relationship Id="rId3" Type="http://schemas.openxmlformats.org/officeDocument/2006/relationships/hyperlink" Target="https://maritzcx.atlassian.net/browse/BD-35035" TargetMode="External"/><Relationship Id="rId21" Type="http://schemas.openxmlformats.org/officeDocument/2006/relationships/hyperlink" Target="https://maritzcx.atlassian.net/browse/BD-35037" TargetMode="External"/><Relationship Id="rId7" Type="http://schemas.openxmlformats.org/officeDocument/2006/relationships/hyperlink" Target="https://maritzcx.atlassian.net/browse/BD-35382" TargetMode="External"/><Relationship Id="rId12" Type="http://schemas.openxmlformats.org/officeDocument/2006/relationships/hyperlink" Target="https://maritzcx.atlassian.net/browse/BD-36100" TargetMode="External"/><Relationship Id="rId17" Type="http://schemas.openxmlformats.org/officeDocument/2006/relationships/hyperlink" Target="https://maritzcx.atlassian.net/browse/BD-36578" TargetMode="External"/><Relationship Id="rId2" Type="http://schemas.openxmlformats.org/officeDocument/2006/relationships/hyperlink" Target="https://maritzcx.atlassian.net/browse/BD-31348" TargetMode="External"/><Relationship Id="rId16" Type="http://schemas.openxmlformats.org/officeDocument/2006/relationships/hyperlink" Target="https://maritzcx.atlassian.net/browse/BD-36502" TargetMode="External"/><Relationship Id="rId20" Type="http://schemas.openxmlformats.org/officeDocument/2006/relationships/hyperlink" Target="https://maritzcx.atlassian.net/issues/?jql=issueKey%20in%20(BD-35037%2CBD-35664)" TargetMode="External"/><Relationship Id="rId1" Type="http://schemas.openxmlformats.org/officeDocument/2006/relationships/hyperlink" Target="https://maritzcx.atlassian.net/issues/?jql=issueKey%20in%20(BD-31348%2CBD-35035%2CBD-35047%2CBD-35054%2CBD-35244%2CBD-35382%2CBD-35470%2CBD-35663%2CBD-35686%2CBD-35982%2CBD-36100%2CBD-36237%2CBD-36238%2CBD-36281%2CBD-36502%2CBD-36578)" TargetMode="External"/><Relationship Id="rId6" Type="http://schemas.openxmlformats.org/officeDocument/2006/relationships/hyperlink" Target="https://maritzcx.atlassian.net/browse/BD-35244" TargetMode="External"/><Relationship Id="rId11" Type="http://schemas.openxmlformats.org/officeDocument/2006/relationships/hyperlink" Target="https://maritzcx.atlassian.net/browse/BD-35982" TargetMode="External"/><Relationship Id="rId5" Type="http://schemas.openxmlformats.org/officeDocument/2006/relationships/hyperlink" Target="https://maritzcx.atlassian.net/browse/BD-35054" TargetMode="External"/><Relationship Id="rId15" Type="http://schemas.openxmlformats.org/officeDocument/2006/relationships/hyperlink" Target="https://maritzcx.atlassian.net/browse/BD-36281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https://maritzcx.atlassian.net/browse/BD-35686" TargetMode="External"/><Relationship Id="rId19" Type="http://schemas.openxmlformats.org/officeDocument/2006/relationships/hyperlink" Target="https://maritzcx.atlassian.net/browse/BD-35440" TargetMode="External"/><Relationship Id="rId4" Type="http://schemas.openxmlformats.org/officeDocument/2006/relationships/hyperlink" Target="https://maritzcx.atlassian.net/browse/BD-35047" TargetMode="External"/><Relationship Id="rId9" Type="http://schemas.openxmlformats.org/officeDocument/2006/relationships/hyperlink" Target="https://maritzcx.atlassian.net/browse/BD-35663" TargetMode="External"/><Relationship Id="rId14" Type="http://schemas.openxmlformats.org/officeDocument/2006/relationships/hyperlink" Target="https://maritzcx.atlassian.net/browse/BD-36238" TargetMode="External"/><Relationship Id="rId22" Type="http://schemas.openxmlformats.org/officeDocument/2006/relationships/hyperlink" Target="https://maritzcx.atlassian.net/browse/BD-35664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3" t="s">
        <v>37</v>
      </c>
      <c r="B1" s="13" t="s">
        <v>28</v>
      </c>
    </row>
    <row r="2" spans="1:2" ht="54" x14ac:dyDescent="0.3">
      <c r="A2" s="10">
        <v>1</v>
      </c>
      <c r="B2" s="11" t="s">
        <v>29</v>
      </c>
    </row>
    <row r="3" spans="1:2" ht="18" x14ac:dyDescent="0.3">
      <c r="A3" s="10">
        <v>2</v>
      </c>
      <c r="B3" s="11" t="s">
        <v>30</v>
      </c>
    </row>
    <row r="4" spans="1:2" ht="18" x14ac:dyDescent="0.35">
      <c r="A4" s="12">
        <v>3</v>
      </c>
      <c r="B4" s="12" t="s">
        <v>31</v>
      </c>
    </row>
    <row r="5" spans="1:2" ht="18" x14ac:dyDescent="0.35">
      <c r="A5" s="12">
        <v>4</v>
      </c>
      <c r="B5" s="12" t="s">
        <v>32</v>
      </c>
    </row>
    <row r="6" spans="1:2" ht="54" x14ac:dyDescent="0.3">
      <c r="A6" s="10">
        <v>5</v>
      </c>
      <c r="B6" s="11" t="s">
        <v>33</v>
      </c>
    </row>
    <row r="7" spans="1:2" ht="18" x14ac:dyDescent="0.3">
      <c r="A7" s="10">
        <v>6</v>
      </c>
      <c r="B7" s="11" t="s">
        <v>34</v>
      </c>
    </row>
    <row r="8" spans="1:2" ht="18" x14ac:dyDescent="0.3">
      <c r="A8" s="10">
        <v>7</v>
      </c>
      <c r="B8" s="11" t="s">
        <v>38</v>
      </c>
    </row>
    <row r="9" spans="1:2" ht="18" x14ac:dyDescent="0.3">
      <c r="A9" s="10">
        <v>8</v>
      </c>
      <c r="B9" s="11" t="s">
        <v>35</v>
      </c>
    </row>
    <row r="10" spans="1:2" ht="18" x14ac:dyDescent="0.3">
      <c r="A10" s="26" t="s">
        <v>36</v>
      </c>
      <c r="B10" s="27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4"/>
  <sheetViews>
    <sheetView tabSelected="1" workbookViewId="0">
      <selection activeCell="I7" sqref="I7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6" bestFit="1" customWidth="1"/>
    <col min="9" max="9" width="19.6640625" bestFit="1" customWidth="1"/>
  </cols>
  <sheetData>
    <row r="1" spans="1:10" ht="23.4" customHeight="1" x14ac:dyDescent="0.3">
      <c r="A1" s="32" t="s">
        <v>0</v>
      </c>
    </row>
    <row r="2" spans="1:10" ht="23.4" customHeight="1" thickBot="1" x14ac:dyDescent="0.35">
      <c r="A2" s="1" t="s">
        <v>1</v>
      </c>
    </row>
    <row r="3" spans="1:10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90</v>
      </c>
      <c r="G3" s="2" t="s">
        <v>44</v>
      </c>
      <c r="H3" s="3" t="s">
        <v>20</v>
      </c>
      <c r="I3" t="s">
        <v>21</v>
      </c>
      <c r="J3" t="s">
        <v>40</v>
      </c>
    </row>
    <row r="4" spans="1:10" ht="23.4" customHeight="1" x14ac:dyDescent="0.3">
      <c r="A4" s="4" t="s">
        <v>50</v>
      </c>
      <c r="B4" s="5" t="s">
        <v>51</v>
      </c>
      <c r="C4" s="6" t="s">
        <v>9</v>
      </c>
      <c r="D4" s="6" t="s">
        <v>10</v>
      </c>
      <c r="E4" s="33" t="s">
        <v>46</v>
      </c>
      <c r="F4" s="7">
        <v>3</v>
      </c>
      <c r="G4">
        <v>3</v>
      </c>
      <c r="H4">
        <v>3</v>
      </c>
      <c r="I4">
        <v>3</v>
      </c>
    </row>
    <row r="5" spans="1:10" ht="23.4" customHeight="1" x14ac:dyDescent="0.3">
      <c r="A5" s="4" t="s">
        <v>52</v>
      </c>
      <c r="B5" s="5" t="s">
        <v>53</v>
      </c>
      <c r="C5" s="6" t="s">
        <v>9</v>
      </c>
      <c r="D5" s="6" t="s">
        <v>10</v>
      </c>
      <c r="E5" s="33" t="s">
        <v>8</v>
      </c>
      <c r="F5" s="7">
        <v>3</v>
      </c>
      <c r="G5">
        <v>3</v>
      </c>
      <c r="H5">
        <v>3</v>
      </c>
      <c r="I5">
        <v>3</v>
      </c>
    </row>
    <row r="6" spans="1:10" ht="23.4" customHeight="1" x14ac:dyDescent="0.3">
      <c r="A6" s="4" t="s">
        <v>54</v>
      </c>
      <c r="B6" s="5" t="s">
        <v>55</v>
      </c>
      <c r="C6" s="6" t="s">
        <v>9</v>
      </c>
      <c r="D6" s="6" t="s">
        <v>10</v>
      </c>
      <c r="E6" s="33" t="s">
        <v>8</v>
      </c>
      <c r="F6" s="7">
        <v>3</v>
      </c>
      <c r="G6">
        <v>3</v>
      </c>
      <c r="H6">
        <v>3</v>
      </c>
      <c r="I6">
        <v>3</v>
      </c>
    </row>
    <row r="7" spans="1:10" ht="23.4" customHeight="1" x14ac:dyDescent="0.3">
      <c r="A7" s="4" t="s">
        <v>56</v>
      </c>
      <c r="B7" s="5" t="s">
        <v>57</v>
      </c>
      <c r="C7" s="6" t="s">
        <v>11</v>
      </c>
      <c r="D7" s="6" t="s">
        <v>10</v>
      </c>
      <c r="E7" s="33" t="s">
        <v>12</v>
      </c>
      <c r="F7" s="7">
        <v>3</v>
      </c>
      <c r="G7">
        <v>3</v>
      </c>
      <c r="H7">
        <v>3</v>
      </c>
      <c r="I7">
        <v>3</v>
      </c>
    </row>
    <row r="8" spans="1:10" ht="23.4" customHeight="1" x14ac:dyDescent="0.3">
      <c r="A8" s="4" t="s">
        <v>58</v>
      </c>
      <c r="B8" s="5" t="s">
        <v>59</v>
      </c>
      <c r="C8" s="6" t="s">
        <v>11</v>
      </c>
      <c r="D8" s="6" t="s">
        <v>10</v>
      </c>
      <c r="E8" s="33" t="s">
        <v>12</v>
      </c>
      <c r="F8" s="7">
        <v>3</v>
      </c>
      <c r="G8">
        <v>3</v>
      </c>
      <c r="H8">
        <v>3</v>
      </c>
      <c r="I8">
        <v>3</v>
      </c>
    </row>
    <row r="9" spans="1:10" ht="23.4" customHeight="1" x14ac:dyDescent="0.3">
      <c r="A9" s="4" t="s">
        <v>60</v>
      </c>
      <c r="B9" s="5" t="s">
        <v>61</v>
      </c>
      <c r="C9" s="6" t="s">
        <v>13</v>
      </c>
      <c r="D9" s="6" t="s">
        <v>10</v>
      </c>
      <c r="E9" s="33" t="s">
        <v>8</v>
      </c>
      <c r="F9" s="7">
        <v>1</v>
      </c>
      <c r="G9">
        <v>1</v>
      </c>
      <c r="H9">
        <v>1</v>
      </c>
      <c r="I9">
        <v>1</v>
      </c>
    </row>
    <row r="10" spans="1:10" ht="23.4" customHeight="1" x14ac:dyDescent="0.3">
      <c r="A10" s="4" t="s">
        <v>62</v>
      </c>
      <c r="B10" s="5" t="s">
        <v>63</v>
      </c>
      <c r="C10" s="6" t="s">
        <v>11</v>
      </c>
      <c r="D10" s="6" t="s">
        <v>10</v>
      </c>
      <c r="E10" s="33" t="s">
        <v>12</v>
      </c>
      <c r="F10" s="7">
        <v>1</v>
      </c>
      <c r="G10">
        <v>1</v>
      </c>
      <c r="H10">
        <v>1</v>
      </c>
      <c r="I10">
        <v>1</v>
      </c>
    </row>
    <row r="11" spans="1:10" ht="23.4" customHeight="1" x14ac:dyDescent="0.3">
      <c r="A11" s="4" t="s">
        <v>64</v>
      </c>
      <c r="B11" s="5" t="s">
        <v>65</v>
      </c>
      <c r="C11" s="6" t="s">
        <v>9</v>
      </c>
      <c r="D11" s="6" t="s">
        <v>10</v>
      </c>
      <c r="E11" s="33" t="s">
        <v>8</v>
      </c>
      <c r="F11" s="7">
        <v>1</v>
      </c>
      <c r="G11">
        <v>1</v>
      </c>
      <c r="H11">
        <v>1</v>
      </c>
      <c r="I11">
        <v>1</v>
      </c>
    </row>
    <row r="12" spans="1:10" ht="23.4" customHeight="1" x14ac:dyDescent="0.3">
      <c r="A12" s="4" t="s">
        <v>66</v>
      </c>
      <c r="B12" s="5" t="s">
        <v>67</v>
      </c>
      <c r="C12" s="6" t="s">
        <v>7</v>
      </c>
      <c r="D12" s="6" t="s">
        <v>16</v>
      </c>
      <c r="E12" s="33" t="s">
        <v>45</v>
      </c>
      <c r="F12" s="7">
        <v>3</v>
      </c>
      <c r="G12">
        <v>3</v>
      </c>
      <c r="H12">
        <v>3</v>
      </c>
      <c r="I12">
        <v>3</v>
      </c>
    </row>
    <row r="13" spans="1:10" ht="23.4" customHeight="1" x14ac:dyDescent="0.3">
      <c r="A13" s="4" t="s">
        <v>68</v>
      </c>
      <c r="B13" s="5" t="s">
        <v>69</v>
      </c>
      <c r="C13" s="6" t="s">
        <v>7</v>
      </c>
      <c r="D13" s="6" t="s">
        <v>47</v>
      </c>
      <c r="E13" s="33" t="s">
        <v>45</v>
      </c>
      <c r="F13" s="7">
        <v>1</v>
      </c>
      <c r="G13">
        <v>1</v>
      </c>
      <c r="H13">
        <v>1</v>
      </c>
      <c r="I13">
        <v>1</v>
      </c>
    </row>
    <row r="14" spans="1:10" ht="23.4" customHeight="1" x14ac:dyDescent="0.3">
      <c r="A14" s="4" t="s">
        <v>70</v>
      </c>
      <c r="B14" s="5" t="s">
        <v>71</v>
      </c>
      <c r="C14" s="6" t="s">
        <v>13</v>
      </c>
      <c r="D14" s="6" t="s">
        <v>10</v>
      </c>
      <c r="E14" s="33" t="s">
        <v>8</v>
      </c>
      <c r="F14" s="8" t="s">
        <v>91</v>
      </c>
      <c r="G14">
        <v>1</v>
      </c>
      <c r="H14">
        <v>3</v>
      </c>
      <c r="I14">
        <v>1</v>
      </c>
    </row>
    <row r="15" spans="1:10" ht="23.4" customHeight="1" x14ac:dyDescent="0.3">
      <c r="A15" s="4" t="s">
        <v>72</v>
      </c>
      <c r="B15" s="5" t="s">
        <v>73</v>
      </c>
      <c r="C15" s="6" t="s">
        <v>7</v>
      </c>
      <c r="D15" s="6" t="s">
        <v>47</v>
      </c>
      <c r="E15" s="33" t="s">
        <v>8</v>
      </c>
      <c r="F15" s="7">
        <v>1</v>
      </c>
      <c r="G15">
        <v>1</v>
      </c>
      <c r="J15">
        <v>1</v>
      </c>
    </row>
    <row r="16" spans="1:10" ht="23.4" customHeight="1" x14ac:dyDescent="0.3">
      <c r="A16" s="4" t="s">
        <v>74</v>
      </c>
      <c r="B16" s="5" t="s">
        <v>75</v>
      </c>
      <c r="C16" s="6" t="s">
        <v>7</v>
      </c>
      <c r="D16" s="6" t="s">
        <v>39</v>
      </c>
      <c r="E16" s="33" t="s">
        <v>8</v>
      </c>
      <c r="F16" s="7">
        <v>3</v>
      </c>
      <c r="G16">
        <v>3</v>
      </c>
      <c r="J16">
        <v>3</v>
      </c>
    </row>
    <row r="17" spans="1:10" ht="23.4" customHeight="1" x14ac:dyDescent="0.3">
      <c r="A17" s="4" t="s">
        <v>76</v>
      </c>
      <c r="B17" s="5" t="s">
        <v>77</v>
      </c>
      <c r="C17" s="6" t="s">
        <v>9</v>
      </c>
      <c r="D17" s="6" t="s">
        <v>10</v>
      </c>
      <c r="E17" s="33" t="s">
        <v>8</v>
      </c>
      <c r="F17" s="7" t="s">
        <v>48</v>
      </c>
      <c r="G17">
        <v>0</v>
      </c>
      <c r="J17">
        <v>0</v>
      </c>
    </row>
    <row r="18" spans="1:10" ht="23.4" customHeight="1" x14ac:dyDescent="0.3">
      <c r="A18" s="4" t="s">
        <v>78</v>
      </c>
      <c r="B18" s="5" t="s">
        <v>79</v>
      </c>
      <c r="C18" s="6" t="s">
        <v>7</v>
      </c>
      <c r="D18" s="6" t="s">
        <v>16</v>
      </c>
      <c r="E18" s="33" t="s">
        <v>45</v>
      </c>
      <c r="F18" s="7">
        <v>1</v>
      </c>
      <c r="G18">
        <v>1</v>
      </c>
      <c r="J18">
        <v>1</v>
      </c>
    </row>
    <row r="19" spans="1:10" ht="23.4" customHeight="1" x14ac:dyDescent="0.3">
      <c r="A19" s="4" t="s">
        <v>80</v>
      </c>
      <c r="B19" s="5" t="s">
        <v>81</v>
      </c>
      <c r="C19" s="6" t="s">
        <v>7</v>
      </c>
      <c r="D19" s="6" t="s">
        <v>39</v>
      </c>
      <c r="E19" s="33" t="s">
        <v>8</v>
      </c>
      <c r="F19" s="7">
        <v>2</v>
      </c>
      <c r="G19">
        <v>2</v>
      </c>
      <c r="J19">
        <v>2</v>
      </c>
    </row>
    <row r="20" spans="1:10" ht="23.4" customHeight="1" x14ac:dyDescent="0.3">
      <c r="A20" s="9"/>
    </row>
    <row r="21" spans="1:10" ht="23.4" customHeight="1" x14ac:dyDescent="0.3">
      <c r="A21" s="9"/>
    </row>
    <row r="22" spans="1:10" ht="23.4" customHeight="1" x14ac:dyDescent="0.3">
      <c r="A22" s="32" t="s">
        <v>14</v>
      </c>
    </row>
    <row r="23" spans="1:10" ht="23.4" customHeight="1" thickBot="1" x14ac:dyDescent="0.35">
      <c r="A23" s="1" t="s">
        <v>1</v>
      </c>
    </row>
    <row r="24" spans="1:10" ht="23.4" customHeight="1" x14ac:dyDescent="0.3">
      <c r="A24" s="2" t="s">
        <v>2</v>
      </c>
      <c r="B24" s="2" t="s">
        <v>3</v>
      </c>
      <c r="C24" s="2" t="s">
        <v>4</v>
      </c>
      <c r="D24" s="2" t="s">
        <v>5</v>
      </c>
      <c r="E24" s="2" t="s">
        <v>6</v>
      </c>
      <c r="F24" s="3" t="s">
        <v>82</v>
      </c>
      <c r="H24" t="s">
        <v>19</v>
      </c>
    </row>
    <row r="25" spans="1:10" ht="23.4" customHeight="1" x14ac:dyDescent="0.3">
      <c r="A25" s="4" t="s">
        <v>83</v>
      </c>
      <c r="B25" s="5" t="s">
        <v>84</v>
      </c>
      <c r="C25" s="6" t="s">
        <v>7</v>
      </c>
      <c r="D25" s="6" t="s">
        <v>47</v>
      </c>
      <c r="E25" s="34" t="s">
        <v>15</v>
      </c>
      <c r="F25" s="7">
        <v>2</v>
      </c>
      <c r="H25">
        <v>2</v>
      </c>
    </row>
    <row r="26" spans="1:10" ht="23.4" customHeight="1" thickBot="1" x14ac:dyDescent="0.35">
      <c r="A26" s="9"/>
    </row>
    <row r="27" spans="1:10" ht="23.4" customHeight="1" x14ac:dyDescent="0.3">
      <c r="A27" s="9"/>
      <c r="G27" s="2"/>
      <c r="H27" s="3"/>
    </row>
    <row r="28" spans="1:10" ht="23.4" customHeight="1" x14ac:dyDescent="0.3">
      <c r="A28" s="32" t="s">
        <v>17</v>
      </c>
      <c r="G28" s="21"/>
      <c r="H28" s="7"/>
    </row>
    <row r="29" spans="1:10" ht="23.4" customHeight="1" thickBot="1" x14ac:dyDescent="0.35">
      <c r="A29" s="1" t="s">
        <v>1</v>
      </c>
    </row>
    <row r="30" spans="1:10" ht="23.4" customHeight="1" x14ac:dyDescent="0.3">
      <c r="A30" s="2" t="s">
        <v>2</v>
      </c>
      <c r="B30" s="2" t="s">
        <v>3</v>
      </c>
      <c r="C30" s="2" t="s">
        <v>4</v>
      </c>
      <c r="D30" s="2" t="s">
        <v>5</v>
      </c>
      <c r="E30" s="2" t="s">
        <v>6</v>
      </c>
      <c r="F30" s="3" t="s">
        <v>49</v>
      </c>
    </row>
    <row r="31" spans="1:10" ht="23.4" customHeight="1" x14ac:dyDescent="0.3">
      <c r="A31" s="4" t="s">
        <v>85</v>
      </c>
      <c r="B31" s="5" t="s">
        <v>86</v>
      </c>
      <c r="C31" s="6" t="s">
        <v>9</v>
      </c>
      <c r="D31" s="6" t="s">
        <v>10</v>
      </c>
      <c r="E31" s="35" t="s">
        <v>87</v>
      </c>
      <c r="F31" s="7">
        <v>3</v>
      </c>
      <c r="H31">
        <v>3</v>
      </c>
    </row>
    <row r="32" spans="1:10" ht="23.4" customHeight="1" thickBot="1" x14ac:dyDescent="0.35">
      <c r="A32" s="22" t="s">
        <v>88</v>
      </c>
      <c r="B32" s="23" t="s">
        <v>89</v>
      </c>
      <c r="C32" s="24" t="s">
        <v>9</v>
      </c>
      <c r="D32" s="24" t="s">
        <v>10</v>
      </c>
      <c r="E32" s="36" t="s">
        <v>15</v>
      </c>
      <c r="F32" s="37">
        <v>2</v>
      </c>
      <c r="H32">
        <v>2</v>
      </c>
    </row>
    <row r="33" spans="1:6" ht="23.4" customHeight="1" x14ac:dyDescent="0.3">
      <c r="A33" s="2"/>
      <c r="B33" s="2"/>
      <c r="C33" s="2"/>
      <c r="D33" s="2"/>
      <c r="E33" s="2"/>
      <c r="F33" s="3"/>
    </row>
    <row r="34" spans="1:6" ht="23.4" customHeight="1" x14ac:dyDescent="0.3">
      <c r="A34" s="4"/>
      <c r="B34" s="5"/>
      <c r="C34" s="6"/>
      <c r="D34" s="6"/>
      <c r="E34" s="25"/>
      <c r="F34" s="8"/>
    </row>
  </sheetData>
  <hyperlinks>
    <hyperlink ref="A2" r:id="rId1" display="https://maritzcx.atlassian.net/issues/?jql=issueKey%20in%20(BD-31348%2CBD-35035%2CBD-35047%2CBD-35054%2CBD-35244%2CBD-35382%2CBD-35470%2CBD-35663%2CBD-35686%2CBD-35982%2CBD-36100%2CBD-36237%2CBD-36238%2CBD-36281%2CBD-36502%2CBD-36578)"/>
    <hyperlink ref="A4" r:id="rId2" display="https://maritzcx.atlassian.net/browse/BD-31348"/>
    <hyperlink ref="A5" r:id="rId3" display="https://maritzcx.atlassian.net/browse/BD-35035"/>
    <hyperlink ref="A6" r:id="rId4" display="https://maritzcx.atlassian.net/browse/BD-35047"/>
    <hyperlink ref="A7" r:id="rId5" display="https://maritzcx.atlassian.net/browse/BD-35054"/>
    <hyperlink ref="A8" r:id="rId6" display="https://maritzcx.atlassian.net/browse/BD-35244"/>
    <hyperlink ref="A9" r:id="rId7" display="https://maritzcx.atlassian.net/browse/BD-35382"/>
    <hyperlink ref="A10" r:id="rId8" display="https://maritzcx.atlassian.net/browse/BD-35470"/>
    <hyperlink ref="A11" r:id="rId9" display="https://maritzcx.atlassian.net/browse/BD-35663"/>
    <hyperlink ref="A12" r:id="rId10" display="https://maritzcx.atlassian.net/browse/BD-35686"/>
    <hyperlink ref="A13" r:id="rId11" display="https://maritzcx.atlassian.net/browse/BD-35982"/>
    <hyperlink ref="A14" r:id="rId12" display="https://maritzcx.atlassian.net/browse/BD-36100"/>
    <hyperlink ref="A15" r:id="rId13" display="https://maritzcx.atlassian.net/browse/BD-36237"/>
    <hyperlink ref="A16" r:id="rId14" display="https://maritzcx.atlassian.net/browse/BD-36238"/>
    <hyperlink ref="A17" r:id="rId15" display="https://maritzcx.atlassian.net/browse/BD-36281"/>
    <hyperlink ref="A18" r:id="rId16" display="https://maritzcx.atlassian.net/browse/BD-36502"/>
    <hyperlink ref="A19" r:id="rId17" display="https://maritzcx.atlassian.net/browse/BD-36578"/>
    <hyperlink ref="A23" r:id="rId18" display="https://maritzcx.atlassian.net/issues/?jql=issueKey%20in%20(BD-35440)"/>
    <hyperlink ref="A25" r:id="rId19" display="https://maritzcx.atlassian.net/browse/BD-35440"/>
    <hyperlink ref="A29" r:id="rId20" display="https://maritzcx.atlassian.net/issues/?jql=issueKey%20in%20(BD-35037%2CBD-35664)"/>
    <hyperlink ref="A31" r:id="rId21" display="https://maritzcx.atlassian.net/browse/BD-35037"/>
    <hyperlink ref="A32" r:id="rId22" display="https://maritzcx.atlassian.net/browse/BD-35664"/>
  </hyperlinks>
  <pageMargins left="0.7" right="0.7" top="0.75" bottom="0.75" header="0.3" footer="0.3"/>
  <drawing r:id="rId2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3"/>
  <sheetViews>
    <sheetView workbookViewId="0">
      <selection activeCell="B2" sqref="B2"/>
    </sheetView>
  </sheetViews>
  <sheetFormatPr defaultColWidth="18.5546875" defaultRowHeight="18" x14ac:dyDescent="0.35"/>
  <cols>
    <col min="1" max="1" width="29.77734375" style="19" bestFit="1" customWidth="1"/>
    <col min="2" max="2" width="16" style="19" customWidth="1"/>
    <col min="3" max="3" width="17.88671875" style="19" customWidth="1"/>
    <col min="4" max="4" width="35.6640625" style="19" bestFit="1" customWidth="1"/>
    <col min="5" max="5" width="21.88671875" style="19" customWidth="1"/>
    <col min="6" max="6" width="24.33203125" style="19" customWidth="1"/>
    <col min="7" max="7" width="15.21875" style="19" bestFit="1" customWidth="1"/>
    <col min="8" max="16384" width="18.5546875" style="19"/>
  </cols>
  <sheetData>
    <row r="1" spans="1:7" ht="35.4" thickBot="1" x14ac:dyDescent="0.4">
      <c r="A1" s="14" t="s">
        <v>22</v>
      </c>
      <c r="B1" s="15" t="s">
        <v>21</v>
      </c>
      <c r="C1" s="15" t="s">
        <v>23</v>
      </c>
      <c r="D1" s="15" t="s">
        <v>18</v>
      </c>
      <c r="E1" s="15" t="s">
        <v>24</v>
      </c>
      <c r="F1" s="15" t="s">
        <v>25</v>
      </c>
      <c r="G1" s="15" t="s">
        <v>26</v>
      </c>
    </row>
    <row r="2" spans="1:7" ht="18.600000000000001" thickBot="1" x14ac:dyDescent="0.4">
      <c r="A2" s="16">
        <v>32</v>
      </c>
      <c r="B2" s="17">
        <v>23</v>
      </c>
      <c r="C2" s="18">
        <f>B2/A2</f>
        <v>0.71875</v>
      </c>
      <c r="D2" s="17">
        <v>30</v>
      </c>
      <c r="E2" s="18">
        <f>D2/A2</f>
        <v>0.9375</v>
      </c>
      <c r="F2" s="12">
        <v>5</v>
      </c>
      <c r="G2" s="12">
        <v>6</v>
      </c>
    </row>
    <row r="4" spans="1:7" x14ac:dyDescent="0.35">
      <c r="A4" s="30" t="s">
        <v>27</v>
      </c>
      <c r="B4" s="28"/>
      <c r="C4" s="28"/>
      <c r="D4" s="28"/>
      <c r="E4" s="28"/>
      <c r="F4" s="28"/>
      <c r="G4" s="28"/>
    </row>
    <row r="5" spans="1:7" x14ac:dyDescent="0.35">
      <c r="A5" s="31"/>
      <c r="B5" s="29"/>
      <c r="C5" s="29"/>
      <c r="D5" s="29"/>
      <c r="E5" s="29"/>
      <c r="F5" s="29"/>
      <c r="G5" s="29"/>
    </row>
    <row r="7" spans="1:7" x14ac:dyDescent="0.35">
      <c r="A7" s="20" t="s">
        <v>9</v>
      </c>
      <c r="B7" s="12">
        <v>7</v>
      </c>
      <c r="D7" s="20" t="s">
        <v>20</v>
      </c>
      <c r="E7" s="12">
        <v>32</v>
      </c>
    </row>
    <row r="8" spans="1:7" x14ac:dyDescent="0.35">
      <c r="A8" s="20" t="s">
        <v>7</v>
      </c>
      <c r="B8" s="12">
        <v>7</v>
      </c>
      <c r="D8" s="20" t="s">
        <v>21</v>
      </c>
      <c r="E8" s="12">
        <v>23</v>
      </c>
    </row>
    <row r="9" spans="1:7" x14ac:dyDescent="0.35">
      <c r="A9" s="20" t="s">
        <v>11</v>
      </c>
      <c r="B9" s="12">
        <v>3</v>
      </c>
      <c r="D9" s="20" t="s">
        <v>18</v>
      </c>
      <c r="E9" s="12">
        <v>30</v>
      </c>
    </row>
    <row r="10" spans="1:7" x14ac:dyDescent="0.35">
      <c r="A10" s="20" t="s">
        <v>13</v>
      </c>
      <c r="B10" s="12">
        <v>2</v>
      </c>
      <c r="D10" s="20" t="s">
        <v>19</v>
      </c>
      <c r="E10" s="12">
        <v>2</v>
      </c>
    </row>
    <row r="11" spans="1:7" x14ac:dyDescent="0.35">
      <c r="A11" s="20" t="s">
        <v>40</v>
      </c>
      <c r="B11" s="12">
        <v>5</v>
      </c>
      <c r="D11" s="20" t="s">
        <v>41</v>
      </c>
      <c r="E11" s="12">
        <v>7</v>
      </c>
    </row>
    <row r="12" spans="1:7" x14ac:dyDescent="0.35">
      <c r="D12" s="20" t="s">
        <v>42</v>
      </c>
      <c r="E12" s="12">
        <v>10</v>
      </c>
    </row>
    <row r="13" spans="1:7" x14ac:dyDescent="0.35">
      <c r="D13" s="20" t="s">
        <v>43</v>
      </c>
      <c r="E13" s="12">
        <v>11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17</xdr:row>
                    <xdr:rowOff>91440</xdr:rowOff>
                  </from>
                  <to>
                    <xdr:col>3</xdr:col>
                    <xdr:colOff>739140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2018-10-03T10:09:34Z</dcterms:modified>
</cp:coreProperties>
</file>