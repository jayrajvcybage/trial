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Sheet1!$A$3:$F$29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sharedStrings.xml><?xml version="1.0" encoding="utf-8"?>
<sst xmlns="http://schemas.openxmlformats.org/spreadsheetml/2006/main" count="221" uniqueCount="115">
  <si>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</si>
  <si>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</si>
  <si>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</si>
  <si>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</si>
  <si>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</si>
  <si>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</si>
  <si>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</si>
  <si>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</si>
  <si>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</si>
  <si>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</si>
  <si>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</si>
  <si>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CLOSED</t>
  </si>
  <si>
    <t>Task</t>
  </si>
  <si>
    <t>DONE</t>
  </si>
  <si>
    <t>BD-30444</t>
  </si>
  <si>
    <t>FCA- 90 Day- Index Scoring- Calculate Aggregate level Index score</t>
  </si>
  <si>
    <t>IN PRODUCTION</t>
  </si>
  <si>
    <t>Technical Debt</t>
  </si>
  <si>
    <t>-</t>
  </si>
  <si>
    <t>Issues Not Completed</t>
  </si>
  <si>
    <t>IN PROGRESS</t>
  </si>
  <si>
    <t>NNA-Base-Investigate Sample Processing Test Seeds</t>
  </si>
  <si>
    <t>BD-30224</t>
  </si>
  <si>
    <t>FCA-90Day-2018Q2- Platform Response Level Data Feed</t>
  </si>
  <si>
    <t>BD-30442</t>
  </si>
  <si>
    <t>FCA- 90 Day- Index Scoring- Plug-in index scoring into the return process</t>
  </si>
  <si>
    <t>BD-32550</t>
  </si>
  <si>
    <t>NNA-Base-Update Detached Excel Export Engine to HTTPS</t>
  </si>
  <si>
    <t>READY FOR RELEASE</t>
  </si>
  <si>
    <t>FCA-Base-Investigate Horizontal VIN load delay/regenerate file</t>
  </si>
  <si>
    <t>Priority 1</t>
  </si>
  <si>
    <t>Next sprint issue analysis and misc tasks</t>
  </si>
  <si>
    <t>Issues Removed From Sprint</t>
  </si>
  <si>
    <t>Story Points (-)</t>
  </si>
  <si>
    <t>Final Completed</t>
  </si>
  <si>
    <t>Total Completed</t>
  </si>
  <si>
    <t>Total Incomplete</t>
  </si>
  <si>
    <t>Total Committed</t>
  </si>
  <si>
    <t>Committed Completed</t>
  </si>
  <si>
    <t>BD-32487</t>
  </si>
  <si>
    <t>Committed</t>
  </si>
  <si>
    <t>Acceptance Rate</t>
  </si>
  <si>
    <t>Completion Rate</t>
  </si>
  <si>
    <t>Delivered Value</t>
  </si>
  <si>
    <t>Bugs Fixed</t>
  </si>
  <si>
    <t>Note:</t>
  </si>
  <si>
    <t>- #1</t>
  </si>
  <si>
    <t>5 #0</t>
  </si>
  <si>
    <t>- #2</t>
  </si>
  <si>
    <t>BD-30217</t>
  </si>
  <si>
    <t>FCA-120-Reporting Site Changes-Performance Impact Report</t>
  </si>
  <si>
    <t>BD-30347</t>
  </si>
  <si>
    <t>NNA-WebScan-Cross-Frame Scripting ( 11293 )</t>
  </si>
  <si>
    <t>BD-30363</t>
  </si>
  <si>
    <t>CASEIH - Insecure Transport ( vuln ID 4722 )</t>
  </si>
  <si>
    <t>BD-30364</t>
  </si>
  <si>
    <t>CaseIH - Often Misused: Login ( vuln id 10595 )</t>
  </si>
  <si>
    <t>BD-30440</t>
  </si>
  <si>
    <t>FCA- 90 Day- Index Scoring- Calculate Respondent level Index score</t>
  </si>
  <si>
    <t>BD-30466</t>
  </si>
  <si>
    <t>NNA-17135-Default Employee Permissions</t>
  </si>
  <si>
    <t>BD-30468</t>
  </si>
  <si>
    <t>NNA-17135-Update Employee List to Add Non-tampering Appeals Column</t>
  </si>
  <si>
    <t>BD-30478</t>
  </si>
  <si>
    <t>NNA-17135-Survey Appeal Approval Reject Response</t>
  </si>
  <si>
    <t>BD-30728</t>
  </si>
  <si>
    <t>NNA-17135-Corporate Admin and Maritz Admin Access</t>
  </si>
  <si>
    <t>BD-32485 *</t>
  </si>
  <si>
    <t>CaseIH-C004-Alert Closure Summary Filter Header</t>
  </si>
  <si>
    <t>BD-32507</t>
  </si>
  <si>
    <t>CaseIH - Cross-Frame Scripting - Deploy to stage</t>
  </si>
  <si>
    <t>BD-32644</t>
  </si>
  <si>
    <t>FCA-Base-Monthly Scoring and Off-Line Reports - 7/27</t>
  </si>
  <si>
    <t>BD-32658</t>
  </si>
  <si>
    <t>NNA-E18036-Add Scored Callout Quote</t>
  </si>
  <si>
    <t>BD-32704 *</t>
  </si>
  <si>
    <t>FCA- Negative Test for 90 Days</t>
  </si>
  <si>
    <t>BD-32757</t>
  </si>
  <si>
    <t>FCA -90Day- Add 90 Day Seed info to Daily Sample File</t>
  </si>
  <si>
    <t>BD-32896</t>
  </si>
  <si>
    <t>FCA-90Day- Launch Returns Processing/Offlines to Prod - 8/2</t>
  </si>
  <si>
    <t>BD-32968</t>
  </si>
  <si>
    <t>FCA-90Day ReturnProcessing Documentation</t>
  </si>
  <si>
    <t>BD-33004</t>
  </si>
  <si>
    <t>CaseIH-Base-Launch July 23</t>
  </si>
  <si>
    <t>BD-33025</t>
  </si>
  <si>
    <t>BUFFER - Sprint 15</t>
  </si>
  <si>
    <t>BD-33166</t>
  </si>
  <si>
    <t>FCA- 90Day- Monitor Production after Launch</t>
  </si>
  <si>
    <t>BD-33334 *</t>
  </si>
  <si>
    <t>FCA -Base-Hot Alerts Closing Prematurely</t>
  </si>
  <si>
    <t>BD-33405 *</t>
  </si>
  <si>
    <t>NNA-Base-Quote for SMS text messaging Alerts - Sprint 0 Due 7/26</t>
  </si>
  <si>
    <t>BD-33415 *</t>
  </si>
  <si>
    <t>Verify - 90day records are included in Undeliverable E-mail Feed</t>
  </si>
  <si>
    <t>BD-33444 *</t>
  </si>
  <si>
    <t>NNA-Base-Investigate Correlation Report issues</t>
  </si>
  <si>
    <t>BD-33669 *</t>
  </si>
  <si>
    <t>BD-33704 *</t>
  </si>
  <si>
    <t>BD-30467</t>
  </si>
  <si>
    <t>NNA-17135-Survey Appeal Entry Instruction Verbiage</t>
  </si>
  <si>
    <t>Story Points (48 #44)</t>
  </si>
  <si>
    <t>5 #3</t>
  </si>
  <si>
    <t>Story Points (12 #14)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</si>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</sst>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 wrapText="1"/>
    </xf>
    <xf numFmtId="0" fontId="6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9" fillId="0" borderId="6" xfId="0" applyFont="1" applyBorder="1" applyAlignment="1">
      <alignment vertical="top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/>
    <xf numFmtId="0" fontId="10" fillId="0" borderId="6" xfId="0" applyFont="1" applyBorder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9" fontId="13" fillId="0" borderId="5" xfId="0" applyNumberFormat="1" applyFont="1" applyBorder="1" applyAlignment="1">
      <alignment horizontal="center" vertical="center" wrapText="1"/>
    </xf>
    <xf numFmtId="0" fontId="9" fillId="0" borderId="0" xfId="0" applyFont="1"/>
    <xf numFmtId="0" fontId="8" fillId="0" borderId="6" xfId="0" applyFont="1" applyBorder="1"/>
    <xf numFmtId="0" fontId="11" fillId="0" borderId="9" xfId="0" applyFont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4462" name="AutoShape 36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4463" name="AutoShape 367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4464" name="AutoShape 368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4465" name="AutoShape 369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4466" name="AutoShape 37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4467" name="AutoShape 37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4468" name="AutoShape 37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4469" name="AutoShape 37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4470" name="AutoShape 37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4471" name="AutoShape 37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4472" name="AutoShape 37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4473" name="AutoShape 37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4474" name="AutoShape 37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4475" name="AutoShape 37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4476" name="AutoShape 38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4477" name="AutoShape 38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4478" name="AutoShape 38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4479" name="AutoShape 38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4480" name="AutoShape 38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4481" name="AutoShape 38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4482" name="AutoShape 38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4483" name="AutoShape 38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4484" name="AutoShape 388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4485" name="AutoShape 38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4486" name="AutoShape 39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4487" name="AutoShape 39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4488" name="AutoShape 39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4489" name="AutoShape 39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4490" name="AutoShape 39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4491" name="AutoShape 39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7620</xdr:rowOff>
    </xdr:to>
    <xdr:sp macro="" textlink="">
      <xdr:nvSpPr>
        <xdr:cNvPr id="4492" name="AutoShape 39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4493" name="AutoShape 39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304800</xdr:colOff>
      <xdr:row>39</xdr:row>
      <xdr:rowOff>7620</xdr:rowOff>
    </xdr:to>
    <xdr:sp macro="" textlink="">
      <xdr:nvSpPr>
        <xdr:cNvPr id="4494" name="AutoShape 398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7620</xdr:rowOff>
    </xdr:to>
    <xdr:sp macro="" textlink="">
      <xdr:nvSpPr>
        <xdr:cNvPr id="4495" name="AutoShape 39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12</xdr:row>
          <xdr:rowOff>91440</xdr:rowOff>
        </xdr:from>
        <xdr:to>
          <xdr:col>3</xdr:col>
          <xdr:colOff>739140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2507" TargetMode="External"/><Relationship Id="rId18" Type="http://schemas.openxmlformats.org/officeDocument/2006/relationships/hyperlink" Target="https://maritzcx.atlassian.net/browse/BD-32896" TargetMode="External"/><Relationship Id="rId26" Type="http://schemas.openxmlformats.org/officeDocument/2006/relationships/hyperlink" Target="https://maritzcx.atlassian.net/browse/BD-33444" TargetMode="External"/><Relationship Id="rId3" Type="http://schemas.openxmlformats.org/officeDocument/2006/relationships/hyperlink" Target="https://maritzcx.atlassian.net/browse/BD-30347" TargetMode="External"/><Relationship Id="rId21" Type="http://schemas.openxmlformats.org/officeDocument/2006/relationships/hyperlink" Target="https://maritzcx.atlassian.net/browse/BD-33025" TargetMode="External"/><Relationship Id="rId34" Type="http://schemas.openxmlformats.org/officeDocument/2006/relationships/hyperlink" Target="https://maritzcx.atlassian.net/issues/?jql=issueKey%20in%20(BD-30467)" TargetMode="External"/><Relationship Id="rId7" Type="http://schemas.openxmlformats.org/officeDocument/2006/relationships/hyperlink" Target="https://maritzcx.atlassian.net/browse/BD-30466" TargetMode="External"/><Relationship Id="rId12" Type="http://schemas.openxmlformats.org/officeDocument/2006/relationships/hyperlink" Target="https://maritzcx.atlassian.net/browse/BD-32487" TargetMode="External"/><Relationship Id="rId17" Type="http://schemas.openxmlformats.org/officeDocument/2006/relationships/hyperlink" Target="https://maritzcx.atlassian.net/browse/BD-32757" TargetMode="External"/><Relationship Id="rId25" Type="http://schemas.openxmlformats.org/officeDocument/2006/relationships/hyperlink" Target="https://maritzcx.atlassian.net/browse/BD-33415" TargetMode="External"/><Relationship Id="rId33" Type="http://schemas.openxmlformats.org/officeDocument/2006/relationships/hyperlink" Target="https://maritzcx.atlassian.net/browse/BD-33704" TargetMode="External"/><Relationship Id="rId2" Type="http://schemas.openxmlformats.org/officeDocument/2006/relationships/hyperlink" Target="https://maritzcx.atlassian.net/browse/BD-30217" TargetMode="External"/><Relationship Id="rId16" Type="http://schemas.openxmlformats.org/officeDocument/2006/relationships/hyperlink" Target="https://maritzcx.atlassian.net/browse/BD-32704" TargetMode="External"/><Relationship Id="rId20" Type="http://schemas.openxmlformats.org/officeDocument/2006/relationships/hyperlink" Target="https://maritzcx.atlassian.net/browse/BD-33004" TargetMode="External"/><Relationship Id="rId29" Type="http://schemas.openxmlformats.org/officeDocument/2006/relationships/hyperlink" Target="https://maritzcx.atlassian.net/browse/BD-30224" TargetMode="External"/><Relationship Id="rId1" Type="http://schemas.openxmlformats.org/officeDocument/2006/relationships/hyperlink" Target="https://maritzcx.atlassian.net/issues/?jql=issueKey%20in%20(BD-30217%2CBD-30347%2CBD-30363%2CBD-30364%2CBD-30440%2CBD-30466%2CBD-30468%2CBD-30478%2CBD-30728%2CBD-32485%2CBD-32487%2CBD-32507%2CBD-32644%2CBD-32658%2CBD-32704%2CBD-32757%2CBD-32896%2CBD-32968%2CBD-33004%2CBD-33025%2CBD-33166%2CBD-33334%2CBD-33405%2CBD-33415%2CBD-33444%2CBD-33669)" TargetMode="External"/><Relationship Id="rId6" Type="http://schemas.openxmlformats.org/officeDocument/2006/relationships/hyperlink" Target="https://maritzcx.atlassian.net/browse/BD-30440" TargetMode="External"/><Relationship Id="rId11" Type="http://schemas.openxmlformats.org/officeDocument/2006/relationships/hyperlink" Target="https://maritzcx.atlassian.net/browse/BD-32485" TargetMode="External"/><Relationship Id="rId24" Type="http://schemas.openxmlformats.org/officeDocument/2006/relationships/hyperlink" Target="https://maritzcx.atlassian.net/browse/BD-33405" TargetMode="External"/><Relationship Id="rId32" Type="http://schemas.openxmlformats.org/officeDocument/2006/relationships/hyperlink" Target="https://maritzcx.atlassian.net/browse/BD-32550" TargetMode="External"/><Relationship Id="rId5" Type="http://schemas.openxmlformats.org/officeDocument/2006/relationships/hyperlink" Target="https://maritzcx.atlassian.net/browse/BD-30364" TargetMode="External"/><Relationship Id="rId15" Type="http://schemas.openxmlformats.org/officeDocument/2006/relationships/hyperlink" Target="https://maritzcx.atlassian.net/browse/BD-32658" TargetMode="External"/><Relationship Id="rId23" Type="http://schemas.openxmlformats.org/officeDocument/2006/relationships/hyperlink" Target="https://maritzcx.atlassian.net/browse/BD-33334" TargetMode="External"/><Relationship Id="rId28" Type="http://schemas.openxmlformats.org/officeDocument/2006/relationships/hyperlink" Target="https://maritzcx.atlassian.net/issues/?jql=issueKey%20in%20(BD-30224%2CBD-30442%2CBD-30444%2CBD-32550%2CBD-33704)" TargetMode="External"/><Relationship Id="rId36" Type="http://schemas.openxmlformats.org/officeDocument/2006/relationships/drawing" Target="../drawings/drawing1.xml"/><Relationship Id="rId10" Type="http://schemas.openxmlformats.org/officeDocument/2006/relationships/hyperlink" Target="https://maritzcx.atlassian.net/browse/BD-30728" TargetMode="External"/><Relationship Id="rId19" Type="http://schemas.openxmlformats.org/officeDocument/2006/relationships/hyperlink" Target="https://maritzcx.atlassian.net/browse/BD-32968" TargetMode="External"/><Relationship Id="rId31" Type="http://schemas.openxmlformats.org/officeDocument/2006/relationships/hyperlink" Target="https://maritzcx.atlassian.net/browse/BD-30444" TargetMode="External"/><Relationship Id="rId4" Type="http://schemas.openxmlformats.org/officeDocument/2006/relationships/hyperlink" Target="https://maritzcx.atlassian.net/browse/BD-30363" TargetMode="External"/><Relationship Id="rId9" Type="http://schemas.openxmlformats.org/officeDocument/2006/relationships/hyperlink" Target="https://maritzcx.atlassian.net/browse/BD-30478" TargetMode="External"/><Relationship Id="rId14" Type="http://schemas.openxmlformats.org/officeDocument/2006/relationships/hyperlink" Target="https://maritzcx.atlassian.net/browse/BD-32644" TargetMode="External"/><Relationship Id="rId22" Type="http://schemas.openxmlformats.org/officeDocument/2006/relationships/hyperlink" Target="https://maritzcx.atlassian.net/browse/BD-33166" TargetMode="External"/><Relationship Id="rId27" Type="http://schemas.openxmlformats.org/officeDocument/2006/relationships/hyperlink" Target="https://maritzcx.atlassian.net/browse/BD-33669" TargetMode="External"/><Relationship Id="rId30" Type="http://schemas.openxmlformats.org/officeDocument/2006/relationships/hyperlink" Target="https://maritzcx.atlassian.net/browse/BD-30442" TargetMode="External"/><Relationship Id="rId35" Type="http://schemas.openxmlformats.org/officeDocument/2006/relationships/hyperlink" Target="https://maritzcx.atlassian.net/browse/BD-30467" TargetMode="External"/><Relationship Id="rId8" Type="http://schemas.openxmlformats.org/officeDocument/2006/relationships/hyperlink" Target="https://maritzcx.atlassian.net/browse/BD-30468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6" t="s">
        <v>113</v>
      </c>
      <c r="B1" s="16" t="s">
        <v>104</v>
      </c>
    </row>
    <row r="2" spans="1:2" ht="54" x14ac:dyDescent="0.3">
      <c r="A2" s="13">
        <v>1</v>
      </c>
      <c r="B2" s="14" t="s">
        <v>105</v>
      </c>
    </row>
    <row r="3" spans="1:2" ht="18" x14ac:dyDescent="0.3">
      <c r="A3" s="13">
        <v>2</v>
      </c>
      <c r="B3" s="14" t="s">
        <v>106</v>
      </c>
    </row>
    <row r="4" spans="1:2" ht="18" x14ac:dyDescent="0.35">
      <c r="A4" s="15">
        <v>3</v>
      </c>
      <c r="B4" s="15" t="s">
        <v>107</v>
      </c>
    </row>
    <row r="5" spans="1:2" ht="18" x14ac:dyDescent="0.35">
      <c r="A5" s="15">
        <v>4</v>
      </c>
      <c r="B5" s="15" t="s">
        <v>108</v>
      </c>
    </row>
    <row r="6" spans="1:2" ht="54" x14ac:dyDescent="0.3">
      <c r="A6" s="13">
        <v>5</v>
      </c>
      <c r="B6" s="14" t="s">
        <v>109</v>
      </c>
    </row>
    <row r="7" spans="1:2" ht="18" x14ac:dyDescent="0.3">
      <c r="A7" s="13">
        <v>6</v>
      </c>
      <c r="B7" s="14" t="s">
        <v>110</v>
      </c>
    </row>
    <row r="8" spans="1:2" ht="18" x14ac:dyDescent="0.3">
      <c r="A8" s="13">
        <v>7</v>
      </c>
      <c r="B8" s="14" t="s">
        <v>114</v>
      </c>
    </row>
    <row r="9" spans="1:2" ht="18" x14ac:dyDescent="0.3">
      <c r="A9" s="13">
        <v>8</v>
      </c>
      <c r="B9" s="14" t="s">
        <v>111</v>
      </c>
    </row>
    <row r="10" spans="1:2" ht="18" x14ac:dyDescent="0.3">
      <c r="A10" s="24" t="s">
        <v>112</v>
      </c>
      <c r="B10" s="25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2"/>
  <sheetViews>
    <sheetView workbookViewId="0">
      <selection activeCell="F13" sqref="F13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5" bestFit="1" customWidth="1"/>
    <col min="9" max="9" width="19.6640625" bestFit="1" customWidth="1"/>
  </cols>
  <sheetData>
    <row r="1" spans="1:9" ht="23.4" customHeight="1" x14ac:dyDescent="0.3">
      <c r="A1" s="10" t="s">
        <v>0</v>
      </c>
    </row>
    <row r="2" spans="1:9" ht="23.4" customHeight="1" thickBot="1" x14ac:dyDescent="0.35">
      <c r="A2" s="1" t="s">
        <v>1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101</v>
      </c>
      <c r="G3" t="s">
        <v>34</v>
      </c>
      <c r="H3" t="s">
        <v>37</v>
      </c>
      <c r="I3" t="s">
        <v>38</v>
      </c>
    </row>
    <row r="4" spans="1:9" ht="23.4" customHeight="1" x14ac:dyDescent="0.3">
      <c r="A4" s="4" t="s">
        <v>49</v>
      </c>
      <c r="B4" s="5" t="s">
        <v>50</v>
      </c>
      <c r="C4" s="6" t="s">
        <v>9</v>
      </c>
      <c r="D4" s="6" t="s">
        <v>10</v>
      </c>
      <c r="E4" s="11" t="s">
        <v>8</v>
      </c>
      <c r="F4" s="7">
        <v>5</v>
      </c>
      <c r="G4">
        <v>5</v>
      </c>
      <c r="H4">
        <v>5</v>
      </c>
      <c r="I4">
        <v>5</v>
      </c>
    </row>
    <row r="5" spans="1:9" ht="23.4" customHeight="1" x14ac:dyDescent="0.3">
      <c r="A5" s="4" t="s">
        <v>51</v>
      </c>
      <c r="B5" s="5" t="s">
        <v>52</v>
      </c>
      <c r="C5" s="6" t="s">
        <v>17</v>
      </c>
      <c r="D5" s="6" t="s">
        <v>10</v>
      </c>
      <c r="E5" s="11" t="s">
        <v>28</v>
      </c>
      <c r="F5" s="7">
        <v>1</v>
      </c>
      <c r="G5">
        <v>1</v>
      </c>
      <c r="H5">
        <v>1</v>
      </c>
      <c r="I5">
        <v>1</v>
      </c>
    </row>
    <row r="6" spans="1:9" ht="23.4" customHeight="1" x14ac:dyDescent="0.3">
      <c r="A6" s="4" t="s">
        <v>53</v>
      </c>
      <c r="B6" s="5" t="s">
        <v>54</v>
      </c>
      <c r="C6" s="6" t="s">
        <v>17</v>
      </c>
      <c r="D6" s="6" t="s">
        <v>10</v>
      </c>
      <c r="E6" s="11" t="s">
        <v>28</v>
      </c>
      <c r="F6" s="7">
        <v>2</v>
      </c>
      <c r="G6">
        <v>2</v>
      </c>
      <c r="H6">
        <v>2</v>
      </c>
      <c r="I6">
        <v>2</v>
      </c>
    </row>
    <row r="7" spans="1:9" ht="23.4" customHeight="1" x14ac:dyDescent="0.3">
      <c r="A7" s="4" t="s">
        <v>55</v>
      </c>
      <c r="B7" s="5" t="s">
        <v>56</v>
      </c>
      <c r="C7" s="6" t="s">
        <v>17</v>
      </c>
      <c r="D7" s="6" t="s">
        <v>10</v>
      </c>
      <c r="E7" s="11" t="s">
        <v>28</v>
      </c>
      <c r="F7" s="7">
        <v>1</v>
      </c>
      <c r="G7">
        <v>1</v>
      </c>
      <c r="H7">
        <v>1</v>
      </c>
      <c r="I7">
        <v>1</v>
      </c>
    </row>
    <row r="8" spans="1:9" ht="23.4" customHeight="1" x14ac:dyDescent="0.3">
      <c r="A8" s="4" t="s">
        <v>57</v>
      </c>
      <c r="B8" s="5" t="s">
        <v>58</v>
      </c>
      <c r="C8" s="6" t="s">
        <v>12</v>
      </c>
      <c r="D8" s="6" t="s">
        <v>10</v>
      </c>
      <c r="E8" s="11" t="s">
        <v>13</v>
      </c>
      <c r="F8" s="7">
        <v>3</v>
      </c>
      <c r="G8">
        <v>3</v>
      </c>
      <c r="H8">
        <v>3</v>
      </c>
      <c r="I8">
        <v>3</v>
      </c>
    </row>
    <row r="9" spans="1:9" ht="23.4" customHeight="1" x14ac:dyDescent="0.3">
      <c r="A9" s="4" t="s">
        <v>59</v>
      </c>
      <c r="B9" s="5" t="s">
        <v>60</v>
      </c>
      <c r="C9" s="6" t="s">
        <v>9</v>
      </c>
      <c r="D9" s="6" t="s">
        <v>10</v>
      </c>
      <c r="E9" s="11" t="s">
        <v>8</v>
      </c>
      <c r="F9" s="7">
        <v>3</v>
      </c>
      <c r="G9">
        <v>3</v>
      </c>
      <c r="H9">
        <v>3</v>
      </c>
      <c r="I9">
        <v>3</v>
      </c>
    </row>
    <row r="10" spans="1:9" ht="23.4" customHeight="1" x14ac:dyDescent="0.3">
      <c r="A10" s="4" t="s">
        <v>61</v>
      </c>
      <c r="B10" s="5" t="s">
        <v>62</v>
      </c>
      <c r="C10" s="6" t="s">
        <v>9</v>
      </c>
      <c r="D10" s="6" t="s">
        <v>10</v>
      </c>
      <c r="E10" s="11" t="s">
        <v>8</v>
      </c>
      <c r="F10" s="7">
        <v>3</v>
      </c>
      <c r="G10">
        <v>3</v>
      </c>
      <c r="H10">
        <v>3</v>
      </c>
      <c r="I10">
        <v>3</v>
      </c>
    </row>
    <row r="11" spans="1:9" ht="23.4" customHeight="1" x14ac:dyDescent="0.3">
      <c r="A11" s="4" t="s">
        <v>63</v>
      </c>
      <c r="B11" s="5" t="s">
        <v>64</v>
      </c>
      <c r="C11" s="6" t="s">
        <v>9</v>
      </c>
      <c r="D11" s="6" t="s">
        <v>10</v>
      </c>
      <c r="E11" s="11" t="s">
        <v>8</v>
      </c>
      <c r="F11" s="7">
        <v>2</v>
      </c>
      <c r="G11">
        <v>2</v>
      </c>
      <c r="H11">
        <v>2</v>
      </c>
      <c r="I11">
        <v>2</v>
      </c>
    </row>
    <row r="12" spans="1:9" ht="23.4" customHeight="1" x14ac:dyDescent="0.3">
      <c r="A12" s="4" t="s">
        <v>65</v>
      </c>
      <c r="B12" s="5" t="s">
        <v>66</v>
      </c>
      <c r="C12" s="6" t="s">
        <v>9</v>
      </c>
      <c r="D12" s="6" t="s">
        <v>10</v>
      </c>
      <c r="E12" s="11" t="s">
        <v>8</v>
      </c>
      <c r="F12" s="7">
        <v>2</v>
      </c>
      <c r="G12">
        <v>2</v>
      </c>
      <c r="H12">
        <v>2</v>
      </c>
      <c r="I12">
        <v>2</v>
      </c>
    </row>
    <row r="13" spans="1:9" ht="23.4" customHeight="1" x14ac:dyDescent="0.3">
      <c r="A13" s="4" t="s">
        <v>67</v>
      </c>
      <c r="B13" s="5" t="s">
        <v>68</v>
      </c>
      <c r="C13" s="6" t="s">
        <v>9</v>
      </c>
      <c r="D13" s="6" t="s">
        <v>10</v>
      </c>
      <c r="E13" s="11" t="s">
        <v>8</v>
      </c>
      <c r="F13" s="8" t="s">
        <v>102</v>
      </c>
      <c r="G13">
        <v>3</v>
      </c>
    </row>
    <row r="14" spans="1:9" ht="23.4" customHeight="1" x14ac:dyDescent="0.3">
      <c r="A14" s="4" t="s">
        <v>39</v>
      </c>
      <c r="B14" s="5" t="s">
        <v>21</v>
      </c>
      <c r="C14" s="6" t="s">
        <v>9</v>
      </c>
      <c r="D14" s="6" t="s">
        <v>10</v>
      </c>
      <c r="E14" s="11" t="s">
        <v>8</v>
      </c>
      <c r="F14" s="7">
        <v>3</v>
      </c>
      <c r="G14">
        <v>3</v>
      </c>
      <c r="H14">
        <v>3</v>
      </c>
      <c r="I14">
        <v>3</v>
      </c>
    </row>
    <row r="15" spans="1:9" ht="23.4" customHeight="1" x14ac:dyDescent="0.3">
      <c r="A15" s="4" t="s">
        <v>69</v>
      </c>
      <c r="B15" s="5" t="s">
        <v>70</v>
      </c>
      <c r="C15" s="6" t="s">
        <v>12</v>
      </c>
      <c r="D15" s="6" t="s">
        <v>10</v>
      </c>
      <c r="E15" s="11" t="s">
        <v>13</v>
      </c>
      <c r="F15" s="7">
        <v>1</v>
      </c>
      <c r="G15">
        <v>1</v>
      </c>
      <c r="H15">
        <v>1</v>
      </c>
      <c r="I15">
        <v>1</v>
      </c>
    </row>
    <row r="16" spans="1:9" ht="23.4" customHeight="1" x14ac:dyDescent="0.3">
      <c r="A16" s="4" t="s">
        <v>71</v>
      </c>
      <c r="B16" s="5" t="s">
        <v>72</v>
      </c>
      <c r="C16" s="6" t="s">
        <v>9</v>
      </c>
      <c r="D16" s="6" t="s">
        <v>10</v>
      </c>
      <c r="E16" s="11" t="s">
        <v>8</v>
      </c>
      <c r="F16" s="7">
        <v>2</v>
      </c>
      <c r="G16">
        <v>2</v>
      </c>
      <c r="H16">
        <v>2</v>
      </c>
      <c r="I16">
        <v>2</v>
      </c>
    </row>
    <row r="17" spans="1:9" ht="23.4" customHeight="1" x14ac:dyDescent="0.3">
      <c r="A17" s="4" t="s">
        <v>73</v>
      </c>
      <c r="B17" s="5" t="s">
        <v>74</v>
      </c>
      <c r="C17" s="6" t="s">
        <v>12</v>
      </c>
      <c r="D17" s="6" t="s">
        <v>10</v>
      </c>
      <c r="E17" s="11" t="s">
        <v>13</v>
      </c>
      <c r="F17" s="7">
        <v>2</v>
      </c>
      <c r="G17">
        <v>2</v>
      </c>
      <c r="H17">
        <v>2</v>
      </c>
      <c r="I17">
        <v>2</v>
      </c>
    </row>
    <row r="18" spans="1:9" ht="23.4" customHeight="1" x14ac:dyDescent="0.3">
      <c r="A18" s="4" t="s">
        <v>75</v>
      </c>
      <c r="B18" s="5" t="s">
        <v>76</v>
      </c>
      <c r="C18" s="6" t="s">
        <v>9</v>
      </c>
      <c r="D18" s="6" t="s">
        <v>10</v>
      </c>
      <c r="E18" s="11" t="s">
        <v>8</v>
      </c>
      <c r="F18" s="7">
        <v>0</v>
      </c>
      <c r="G18">
        <v>0</v>
      </c>
    </row>
    <row r="19" spans="1:9" ht="23.4" customHeight="1" x14ac:dyDescent="0.3">
      <c r="A19" s="4" t="s">
        <v>77</v>
      </c>
      <c r="B19" s="5" t="s">
        <v>78</v>
      </c>
      <c r="C19" s="6" t="s">
        <v>9</v>
      </c>
      <c r="D19" s="6" t="s">
        <v>10</v>
      </c>
      <c r="E19" s="11" t="s">
        <v>8</v>
      </c>
      <c r="F19" s="7">
        <v>1</v>
      </c>
      <c r="G19">
        <v>1</v>
      </c>
      <c r="H19">
        <v>1</v>
      </c>
      <c r="I19">
        <v>1</v>
      </c>
    </row>
    <row r="20" spans="1:9" ht="23.4" customHeight="1" x14ac:dyDescent="0.3">
      <c r="A20" s="4" t="s">
        <v>79</v>
      </c>
      <c r="B20" s="5" t="s">
        <v>80</v>
      </c>
      <c r="C20" s="6" t="s">
        <v>9</v>
      </c>
      <c r="D20" s="6" t="s">
        <v>10</v>
      </c>
      <c r="E20" s="11" t="s">
        <v>16</v>
      </c>
      <c r="F20" s="7">
        <v>1</v>
      </c>
      <c r="G20">
        <v>1</v>
      </c>
      <c r="H20">
        <v>1</v>
      </c>
      <c r="I20">
        <v>1</v>
      </c>
    </row>
    <row r="21" spans="1:9" ht="23.4" customHeight="1" x14ac:dyDescent="0.3">
      <c r="A21" s="4" t="s">
        <v>81</v>
      </c>
      <c r="B21" s="5" t="s">
        <v>82</v>
      </c>
      <c r="C21" s="6" t="s">
        <v>12</v>
      </c>
      <c r="D21" s="6" t="s">
        <v>10</v>
      </c>
      <c r="E21" s="11" t="s">
        <v>13</v>
      </c>
      <c r="F21" s="7">
        <v>1</v>
      </c>
      <c r="G21">
        <v>1</v>
      </c>
      <c r="H21">
        <v>1</v>
      </c>
      <c r="I21">
        <v>1</v>
      </c>
    </row>
    <row r="22" spans="1:9" ht="23.4" customHeight="1" x14ac:dyDescent="0.3">
      <c r="A22" s="4" t="s">
        <v>83</v>
      </c>
      <c r="B22" s="5" t="s">
        <v>84</v>
      </c>
      <c r="C22" s="6" t="s">
        <v>12</v>
      </c>
      <c r="D22" s="6" t="s">
        <v>10</v>
      </c>
      <c r="E22" s="11" t="s">
        <v>13</v>
      </c>
      <c r="F22" s="7">
        <v>1</v>
      </c>
      <c r="G22">
        <v>1</v>
      </c>
      <c r="H22">
        <v>1</v>
      </c>
      <c r="I22">
        <v>1</v>
      </c>
    </row>
    <row r="23" spans="1:9" ht="23.4" customHeight="1" x14ac:dyDescent="0.3">
      <c r="A23" s="4" t="s">
        <v>85</v>
      </c>
      <c r="B23" s="5" t="s">
        <v>86</v>
      </c>
      <c r="C23" s="6" t="s">
        <v>9</v>
      </c>
      <c r="D23" s="6" t="s">
        <v>10</v>
      </c>
      <c r="E23" s="11" t="s">
        <v>11</v>
      </c>
      <c r="F23" s="8" t="s">
        <v>47</v>
      </c>
      <c r="G23">
        <v>0</v>
      </c>
      <c r="H23">
        <v>5</v>
      </c>
      <c r="I23">
        <v>0</v>
      </c>
    </row>
    <row r="24" spans="1:9" ht="23.4" customHeight="1" x14ac:dyDescent="0.3">
      <c r="A24" s="4" t="s">
        <v>87</v>
      </c>
      <c r="B24" s="5" t="s">
        <v>88</v>
      </c>
      <c r="C24" s="6" t="s">
        <v>9</v>
      </c>
      <c r="D24" s="6" t="s">
        <v>10</v>
      </c>
      <c r="E24" s="11" t="s">
        <v>11</v>
      </c>
      <c r="F24" s="7">
        <v>1</v>
      </c>
      <c r="G24">
        <v>1</v>
      </c>
      <c r="H24">
        <v>1</v>
      </c>
      <c r="I24">
        <v>1</v>
      </c>
    </row>
    <row r="25" spans="1:9" ht="23.4" customHeight="1" x14ac:dyDescent="0.3">
      <c r="A25" s="4" t="s">
        <v>89</v>
      </c>
      <c r="B25" s="5" t="s">
        <v>90</v>
      </c>
      <c r="C25" s="6" t="s">
        <v>7</v>
      </c>
      <c r="D25" s="6" t="s">
        <v>30</v>
      </c>
      <c r="E25" s="11" t="s">
        <v>11</v>
      </c>
      <c r="F25" s="8" t="s">
        <v>46</v>
      </c>
      <c r="G25">
        <v>1</v>
      </c>
    </row>
    <row r="26" spans="1:9" ht="23.4" customHeight="1" x14ac:dyDescent="0.3">
      <c r="A26" s="4" t="s">
        <v>91</v>
      </c>
      <c r="B26" s="5" t="s">
        <v>92</v>
      </c>
      <c r="C26" s="6" t="s">
        <v>12</v>
      </c>
      <c r="D26" s="6" t="s">
        <v>10</v>
      </c>
      <c r="E26" s="11" t="s">
        <v>13</v>
      </c>
      <c r="F26" s="8" t="s">
        <v>48</v>
      </c>
      <c r="G26">
        <v>2</v>
      </c>
    </row>
    <row r="27" spans="1:9" ht="23.4" customHeight="1" x14ac:dyDescent="0.3">
      <c r="A27" s="4" t="s">
        <v>93</v>
      </c>
      <c r="B27" s="5" t="s">
        <v>94</v>
      </c>
      <c r="C27" s="6" t="s">
        <v>12</v>
      </c>
      <c r="D27" s="6" t="s">
        <v>10</v>
      </c>
      <c r="E27" s="11" t="s">
        <v>13</v>
      </c>
      <c r="F27" s="7">
        <v>1</v>
      </c>
      <c r="G27">
        <v>1</v>
      </c>
    </row>
    <row r="28" spans="1:9" ht="23.4" customHeight="1" x14ac:dyDescent="0.3">
      <c r="A28" s="4" t="s">
        <v>95</v>
      </c>
      <c r="B28" s="5" t="s">
        <v>96</v>
      </c>
      <c r="C28" s="6" t="s">
        <v>12</v>
      </c>
      <c r="D28" s="6" t="s">
        <v>10</v>
      </c>
      <c r="E28" s="11" t="s">
        <v>13</v>
      </c>
      <c r="F28" s="7">
        <v>1</v>
      </c>
      <c r="G28">
        <v>1</v>
      </c>
    </row>
    <row r="29" spans="1:9" ht="23.4" customHeight="1" x14ac:dyDescent="0.3">
      <c r="A29" s="4" t="s">
        <v>97</v>
      </c>
      <c r="B29" s="5" t="s">
        <v>31</v>
      </c>
      <c r="C29" s="6" t="s">
        <v>12</v>
      </c>
      <c r="D29" s="6" t="s">
        <v>10</v>
      </c>
      <c r="E29" s="11" t="s">
        <v>13</v>
      </c>
      <c r="F29" s="7">
        <v>1</v>
      </c>
      <c r="G29">
        <v>1</v>
      </c>
    </row>
    <row r="30" spans="1:9" ht="23.4" customHeight="1" x14ac:dyDescent="0.3">
      <c r="A30" s="9"/>
    </row>
    <row r="31" spans="1:9" ht="23.4" customHeight="1" x14ac:dyDescent="0.3">
      <c r="A31" s="9"/>
    </row>
    <row r="32" spans="1:9" ht="23.4" customHeight="1" x14ac:dyDescent="0.3">
      <c r="A32" s="10" t="s">
        <v>19</v>
      </c>
    </row>
    <row r="33" spans="1:8" ht="23.4" customHeight="1" thickBot="1" x14ac:dyDescent="0.35">
      <c r="A33" s="1" t="s">
        <v>1</v>
      </c>
    </row>
    <row r="34" spans="1:8" ht="23.4" customHeight="1" x14ac:dyDescent="0.3">
      <c r="A34" s="2" t="s">
        <v>2</v>
      </c>
      <c r="B34" s="2" t="s">
        <v>3</v>
      </c>
      <c r="C34" s="2" t="s">
        <v>4</v>
      </c>
      <c r="D34" s="2" t="s">
        <v>5</v>
      </c>
      <c r="E34" s="2" t="s">
        <v>6</v>
      </c>
      <c r="F34" s="3" t="s">
        <v>103</v>
      </c>
      <c r="H34" t="s">
        <v>36</v>
      </c>
    </row>
    <row r="35" spans="1:8" ht="23.4" customHeight="1" x14ac:dyDescent="0.3">
      <c r="A35" s="4" t="s">
        <v>22</v>
      </c>
      <c r="B35" s="5" t="s">
        <v>23</v>
      </c>
      <c r="C35" s="6" t="s">
        <v>9</v>
      </c>
      <c r="D35" s="6" t="s">
        <v>10</v>
      </c>
      <c r="E35" s="12" t="s">
        <v>20</v>
      </c>
      <c r="F35" s="7">
        <v>5</v>
      </c>
      <c r="H35">
        <v>5</v>
      </c>
    </row>
    <row r="36" spans="1:8" ht="23.4" customHeight="1" x14ac:dyDescent="0.3">
      <c r="A36" s="4" t="s">
        <v>24</v>
      </c>
      <c r="B36" s="5" t="s">
        <v>25</v>
      </c>
      <c r="C36" s="6" t="s">
        <v>12</v>
      </c>
      <c r="D36" s="6" t="s">
        <v>10</v>
      </c>
      <c r="E36" s="12" t="s">
        <v>20</v>
      </c>
      <c r="F36" s="7">
        <v>2</v>
      </c>
      <c r="H36">
        <v>2</v>
      </c>
    </row>
    <row r="37" spans="1:8" ht="23.4" customHeight="1" x14ac:dyDescent="0.3">
      <c r="A37" s="4" t="s">
        <v>14</v>
      </c>
      <c r="B37" s="5" t="s">
        <v>15</v>
      </c>
      <c r="C37" s="6" t="s">
        <v>9</v>
      </c>
      <c r="D37" s="6" t="s">
        <v>10</v>
      </c>
      <c r="E37" s="12" t="s">
        <v>20</v>
      </c>
      <c r="F37" s="7">
        <v>3</v>
      </c>
      <c r="H37">
        <v>3</v>
      </c>
    </row>
    <row r="38" spans="1:8" ht="23.4" customHeight="1" x14ac:dyDescent="0.3">
      <c r="A38" s="4" t="s">
        <v>26</v>
      </c>
      <c r="B38" s="5" t="s">
        <v>27</v>
      </c>
      <c r="C38" s="6" t="s">
        <v>17</v>
      </c>
      <c r="D38" s="6" t="s">
        <v>10</v>
      </c>
      <c r="E38" s="12" t="s">
        <v>20</v>
      </c>
      <c r="F38" s="7">
        <v>2</v>
      </c>
      <c r="H38">
        <v>2</v>
      </c>
    </row>
    <row r="39" spans="1:8" ht="23.4" customHeight="1" x14ac:dyDescent="0.3">
      <c r="A39" s="4" t="s">
        <v>98</v>
      </c>
      <c r="B39" s="5" t="s">
        <v>29</v>
      </c>
      <c r="C39" s="6" t="s">
        <v>7</v>
      </c>
      <c r="D39" s="6" t="s">
        <v>30</v>
      </c>
      <c r="E39" s="12" t="s">
        <v>20</v>
      </c>
      <c r="F39" s="8" t="s">
        <v>48</v>
      </c>
      <c r="H39">
        <v>2</v>
      </c>
    </row>
    <row r="40" spans="1:8" ht="23.4" customHeight="1" x14ac:dyDescent="0.3">
      <c r="A40" s="9"/>
    </row>
    <row r="41" spans="1:8" ht="23.4" customHeight="1" x14ac:dyDescent="0.3">
      <c r="A41" s="9"/>
    </row>
    <row r="42" spans="1:8" ht="23.4" customHeight="1" x14ac:dyDescent="0.3">
      <c r="A42" s="10" t="s">
        <v>32</v>
      </c>
    </row>
    <row r="43" spans="1:8" ht="23.4" customHeight="1" thickBot="1" x14ac:dyDescent="0.35">
      <c r="A43" s="1" t="s">
        <v>1</v>
      </c>
    </row>
    <row r="44" spans="1:8" ht="23.4" customHeight="1" x14ac:dyDescent="0.3">
      <c r="A44" s="2" t="s">
        <v>2</v>
      </c>
      <c r="B44" s="2" t="s">
        <v>3</v>
      </c>
      <c r="C44" s="2" t="s">
        <v>4</v>
      </c>
      <c r="D44" s="2" t="s">
        <v>5</v>
      </c>
      <c r="E44" s="2" t="s">
        <v>6</v>
      </c>
      <c r="F44" s="3" t="s">
        <v>33</v>
      </c>
    </row>
    <row r="45" spans="1:8" ht="23.4" customHeight="1" x14ac:dyDescent="0.3">
      <c r="A45" s="4" t="s">
        <v>99</v>
      </c>
      <c r="B45" s="5" t="s">
        <v>100</v>
      </c>
      <c r="C45" s="6" t="s">
        <v>9</v>
      </c>
      <c r="D45" s="6" t="s">
        <v>10</v>
      </c>
      <c r="E45" s="11" t="s">
        <v>8</v>
      </c>
      <c r="F45" s="7" t="s">
        <v>18</v>
      </c>
    </row>
    <row r="46" spans="1:8" ht="23.4" customHeight="1" x14ac:dyDescent="0.3">
      <c r="A46" s="4"/>
      <c r="B46" s="5"/>
      <c r="C46" s="6"/>
      <c r="D46" s="6"/>
      <c r="E46" s="12"/>
      <c r="F46" s="8"/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/>
    </row>
    <row r="50" spans="1:6" ht="23.4" customHeight="1" thickBot="1" x14ac:dyDescent="0.35">
      <c r="A50" s="1"/>
    </row>
    <row r="51" spans="1:6" ht="23.4" customHeight="1" x14ac:dyDescent="0.3">
      <c r="A51" s="2"/>
      <c r="B51" s="2"/>
      <c r="C51" s="2"/>
      <c r="D51" s="2"/>
      <c r="E51" s="2"/>
      <c r="F51" s="3"/>
    </row>
    <row r="52" spans="1:6" ht="23.4" customHeight="1" x14ac:dyDescent="0.3">
      <c r="A52" s="4"/>
      <c r="B52" s="5"/>
      <c r="C52" s="6"/>
      <c r="D52" s="6"/>
      <c r="E52" s="11"/>
      <c r="F52" s="7"/>
    </row>
  </sheetData>
  <hyperlinks>
    <hyperlink ref="A2" r:id="rId1" display="https://maritzcx.atlassian.net/issues/?jql=issueKey%20in%20(BD-30217%2CBD-30347%2CBD-30363%2CBD-30364%2CBD-30440%2CBD-30466%2CBD-30468%2CBD-30478%2CBD-30728%2CBD-32485%2CBD-32487%2CBD-32507%2CBD-32644%2CBD-32658%2CBD-32704%2CBD-32757%2CBD-32896%2CBD-32968%2CBD-33004%2CBD-33025%2CBD-33166%2CBD-33334%2CBD-33405%2CBD-33415%2CBD-33444%2CBD-33669)"/>
    <hyperlink ref="A4" r:id="rId2" display="https://maritzcx.atlassian.net/browse/BD-30217"/>
    <hyperlink ref="A5" r:id="rId3" display="https://maritzcx.atlassian.net/browse/BD-30347"/>
    <hyperlink ref="A6" r:id="rId4" display="https://maritzcx.atlassian.net/browse/BD-30363"/>
    <hyperlink ref="A7" r:id="rId5" display="https://maritzcx.atlassian.net/browse/BD-30364"/>
    <hyperlink ref="A8" r:id="rId6" display="https://maritzcx.atlassian.net/browse/BD-30440"/>
    <hyperlink ref="A9" r:id="rId7" display="https://maritzcx.atlassian.net/browse/BD-30466"/>
    <hyperlink ref="A10" r:id="rId8" display="https://maritzcx.atlassian.net/browse/BD-30468"/>
    <hyperlink ref="A11" r:id="rId9" display="https://maritzcx.atlassian.net/browse/BD-30478"/>
    <hyperlink ref="A12" r:id="rId10" display="https://maritzcx.atlassian.net/browse/BD-30728"/>
    <hyperlink ref="A13" r:id="rId11" display="https://maritzcx.atlassian.net/browse/BD-32485"/>
    <hyperlink ref="A14" r:id="rId12" display="https://maritzcx.atlassian.net/browse/BD-32487"/>
    <hyperlink ref="A15" r:id="rId13" display="https://maritzcx.atlassian.net/browse/BD-32507"/>
    <hyperlink ref="A16" r:id="rId14" display="https://maritzcx.atlassian.net/browse/BD-32644"/>
    <hyperlink ref="A17" r:id="rId15" display="https://maritzcx.atlassian.net/browse/BD-32658"/>
    <hyperlink ref="A18" r:id="rId16" display="https://maritzcx.atlassian.net/browse/BD-32704"/>
    <hyperlink ref="A19" r:id="rId17" display="https://maritzcx.atlassian.net/browse/BD-32757"/>
    <hyperlink ref="A20" r:id="rId18" display="https://maritzcx.atlassian.net/browse/BD-32896"/>
    <hyperlink ref="A21" r:id="rId19" display="https://maritzcx.atlassian.net/browse/BD-32968"/>
    <hyperlink ref="A22" r:id="rId20" display="https://maritzcx.atlassian.net/browse/BD-33004"/>
    <hyperlink ref="A23" r:id="rId21" display="https://maritzcx.atlassian.net/browse/BD-33025"/>
    <hyperlink ref="A24" r:id="rId22" display="https://maritzcx.atlassian.net/browse/BD-33166"/>
    <hyperlink ref="A25" r:id="rId23" display="https://maritzcx.atlassian.net/browse/BD-33334"/>
    <hyperlink ref="A26" r:id="rId24" display="https://maritzcx.atlassian.net/browse/BD-33405"/>
    <hyperlink ref="A27" r:id="rId25" display="https://maritzcx.atlassian.net/browse/BD-33415"/>
    <hyperlink ref="A28" r:id="rId26" display="https://maritzcx.atlassian.net/browse/BD-33444"/>
    <hyperlink ref="A29" r:id="rId27" display="https://maritzcx.atlassian.net/browse/BD-33669"/>
    <hyperlink ref="A33" r:id="rId28" display="https://maritzcx.atlassian.net/issues/?jql=issueKey%20in%20(BD-30224%2CBD-30442%2CBD-30444%2CBD-32550%2CBD-33704)"/>
    <hyperlink ref="A35" r:id="rId29" display="https://maritzcx.atlassian.net/browse/BD-30224"/>
    <hyperlink ref="A36" r:id="rId30" display="https://maritzcx.atlassian.net/browse/BD-30442"/>
    <hyperlink ref="A37" r:id="rId31" display="https://maritzcx.atlassian.net/browse/BD-30444"/>
    <hyperlink ref="A38" r:id="rId32" display="https://maritzcx.atlassian.net/browse/BD-32550"/>
    <hyperlink ref="A39" r:id="rId33" display="https://maritzcx.atlassian.net/browse/BD-33704"/>
    <hyperlink ref="A43" r:id="rId34" display="https://maritzcx.atlassian.net/issues/?jql=issueKey%20in%20(BD-30467)"/>
    <hyperlink ref="A45" r:id="rId35" display="https://maritzcx.atlassian.net/browse/BD-30467"/>
  </hyperlinks>
  <pageMargins left="0.7" right="0.7" top="0.75" bottom="0.75" header="0.3" footer="0.3"/>
  <drawing r:id="rId3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0"/>
  <sheetViews>
    <sheetView workbookViewId="0">
      <selection activeCell="B4" sqref="B4:G5"/>
    </sheetView>
  </sheetViews>
  <sheetFormatPr defaultColWidth="18.5546875" defaultRowHeight="18" x14ac:dyDescent="0.35"/>
  <cols>
    <col min="1" max="1" width="16.88671875" style="22" bestFit="1" customWidth="1"/>
    <col min="2" max="2" width="14.5546875" style="22" bestFit="1" customWidth="1"/>
    <col min="3" max="3" width="16" style="22" bestFit="1" customWidth="1"/>
    <col min="4" max="4" width="25.6640625" style="22" bestFit="1" customWidth="1"/>
    <col min="5" max="5" width="15.5546875" style="22" bestFit="1" customWidth="1"/>
    <col min="6" max="6" width="13" style="22" bestFit="1" customWidth="1"/>
    <col min="7" max="7" width="15.21875" style="22" bestFit="1" customWidth="1"/>
    <col min="8" max="16384" width="18.5546875" style="22"/>
  </cols>
  <sheetData>
    <row r="1" spans="1:7" ht="35.4" thickBot="1" x14ac:dyDescent="0.4">
      <c r="A1" s="17" t="s">
        <v>40</v>
      </c>
      <c r="B1" s="18" t="s">
        <v>38</v>
      </c>
      <c r="C1" s="18" t="s">
        <v>41</v>
      </c>
      <c r="D1" s="18" t="s">
        <v>35</v>
      </c>
      <c r="E1" s="18" t="s">
        <v>42</v>
      </c>
      <c r="F1" s="18" t="s">
        <v>43</v>
      </c>
      <c r="G1" s="18" t="s">
        <v>44</v>
      </c>
    </row>
    <row r="2" spans="1:7" ht="18.600000000000001" thickBot="1" x14ac:dyDescent="0.4">
      <c r="A2" s="19">
        <v>52</v>
      </c>
      <c r="B2" s="20">
        <v>35</v>
      </c>
      <c r="C2" s="21">
        <f>B2/A2</f>
        <v>0.67307692307692313</v>
      </c>
      <c r="D2" s="20">
        <v>44</v>
      </c>
      <c r="E2" s="21">
        <f>D2/A2</f>
        <v>0.84615384615384615</v>
      </c>
      <c r="F2" s="15">
        <v>26</v>
      </c>
      <c r="G2" s="15">
        <v>1</v>
      </c>
    </row>
    <row r="4" spans="1:7" x14ac:dyDescent="0.35">
      <c r="A4" s="28" t="s">
        <v>45</v>
      </c>
      <c r="B4" s="26"/>
      <c r="C4" s="26"/>
      <c r="D4" s="26"/>
      <c r="E4" s="26"/>
      <c r="F4" s="26"/>
      <c r="G4" s="26"/>
    </row>
    <row r="5" spans="1:7" x14ac:dyDescent="0.35">
      <c r="A5" s="29"/>
      <c r="B5" s="27"/>
      <c r="C5" s="27"/>
      <c r="D5" s="27"/>
      <c r="E5" s="27"/>
      <c r="F5" s="27"/>
      <c r="G5" s="27"/>
    </row>
    <row r="7" spans="1:7" x14ac:dyDescent="0.35">
      <c r="A7" s="23" t="s">
        <v>9</v>
      </c>
      <c r="B7" s="15">
        <v>16</v>
      </c>
      <c r="D7" s="23" t="s">
        <v>37</v>
      </c>
      <c r="E7" s="15">
        <v>52</v>
      </c>
    </row>
    <row r="8" spans="1:7" x14ac:dyDescent="0.35">
      <c r="A8" s="23" t="s">
        <v>7</v>
      </c>
      <c r="B8" s="15">
        <v>2</v>
      </c>
      <c r="D8" s="23" t="s">
        <v>38</v>
      </c>
      <c r="E8" s="15">
        <v>35</v>
      </c>
    </row>
    <row r="9" spans="1:7" x14ac:dyDescent="0.35">
      <c r="A9" s="23" t="s">
        <v>12</v>
      </c>
      <c r="B9" s="15">
        <v>10</v>
      </c>
      <c r="D9" s="23" t="s">
        <v>35</v>
      </c>
      <c r="E9" s="15">
        <v>44</v>
      </c>
    </row>
    <row r="10" spans="1:7" x14ac:dyDescent="0.35">
      <c r="A10" s="23" t="s">
        <v>17</v>
      </c>
      <c r="B10" s="15">
        <v>4</v>
      </c>
      <c r="D10" s="23" t="s">
        <v>36</v>
      </c>
      <c r="E10" s="15">
        <v>14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12</xdr:row>
                    <xdr:rowOff>91440</xdr:rowOff>
                  </from>
                  <to>
                    <xdr:col>3</xdr:col>
                    <xdr:colOff>739140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2018-09-14T13:32:35Z</dcterms:modified>
</cp:coreProperties>
</file>